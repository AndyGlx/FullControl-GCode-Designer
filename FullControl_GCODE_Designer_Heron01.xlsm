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https://lunet-my.sharepoint.com/personal/wsag2_lunet_lboro_ac_uk/Documents/Lboro/Research/FullControl GCODE Designer/"/>
    </mc:Choice>
  </mc:AlternateContent>
  <xr:revisionPtr revIDLastSave="8571" documentId="8_{38B9A8E4-F359-4DAD-BD67-6DC39179DE86}" xr6:coauthVersionLast="45" xr6:coauthVersionMax="45" xr10:uidLastSave="{69F03815-D418-472A-BD08-D72B7AAE4F58}"/>
  <bookViews>
    <workbookView xWindow="-120" yWindow="-120" windowWidth="57840" windowHeight="32040" xr2:uid="{8C30A96A-85E0-4C72-B123-4A0D915360FC}"/>
  </bookViews>
  <sheets>
    <sheet name="Main Sheet" sheetId="1" r:id="rId1"/>
    <sheet name="MyDesigns" sheetId="64" r:id="rId2"/>
    <sheet name="Demos" sheetId="63" r:id="rId3"/>
    <sheet name="FullControlPaperExamples" sheetId="62" r:id="rId4"/>
    <sheet name="RepFeatList" sheetId="53" r:id="rId5"/>
    <sheet name="RecycleBin" sheetId="23" r:id="rId6"/>
    <sheet name="FeatParams" sheetId="35" r:id="rId7"/>
    <sheet name="Printpath" sheetId="2" r:id="rId8"/>
    <sheet name="StartGCODE" sheetId="4" r:id="rId9"/>
    <sheet name="EndGCODE" sheetId="5" r:id="rId10"/>
    <sheet name="ToolGCODE" sheetId="51" r:id="rId11"/>
    <sheet name="GCODE" sheetId="6" r:id="rId12"/>
  </sheets>
  <functionGroups builtInGroupCount="19"/>
  <definedNames>
    <definedName name="BedTemp">'Main Sheet'!$T$15</definedName>
    <definedName name="FanSpeed">'Main Sheet'!$T$26</definedName>
    <definedName name="GaugeThickness">'Main Sheet'!$T$40</definedName>
    <definedName name="LayerHeight">'Main Sheet'!$T$38</definedName>
    <definedName name="NozzleFeedratePrinting">'Main Sheet'!$T$16</definedName>
    <definedName name="NozzleFeedrateTravelling">'Main Sheet'!$T$17</definedName>
    <definedName name="NozzleTemp">'Main Sheet'!$T$18</definedName>
    <definedName name="ShoulderThickness">'Main Sheet'!$T$39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4" i="4" l="1"/>
  <c r="T32" i="1"/>
  <c r="T31" i="1"/>
  <c r="T256" i="62"/>
  <c r="T255" i="62"/>
  <c r="U5" i="1"/>
  <c r="E58" i="62" l="1"/>
  <c r="F57" i="62"/>
  <c r="G57" i="62"/>
  <c r="J10" i="63" l="1"/>
  <c r="J9" i="63"/>
  <c r="J8" i="63"/>
  <c r="T97" i="63"/>
  <c r="T96" i="63"/>
  <c r="T63" i="63" l="1"/>
  <c r="T62" i="63"/>
  <c r="F52" i="63"/>
  <c r="T29" i="63" l="1"/>
  <c r="T28" i="63"/>
  <c r="B28" i="4" l="1"/>
  <c r="B25" i="4"/>
  <c r="B26" i="4"/>
  <c r="B23" i="4"/>
  <c r="T115" i="62" l="1"/>
  <c r="T114" i="62"/>
  <c r="H91" i="62"/>
  <c r="F203" i="62"/>
  <c r="E203" i="62"/>
  <c r="F202" i="62"/>
  <c r="G201" i="62"/>
  <c r="I200" i="62"/>
  <c r="T51" i="62"/>
  <c r="T49" i="62"/>
  <c r="G6" i="62" s="1"/>
  <c r="T48" i="62"/>
  <c r="T47" i="62"/>
  <c r="T29" i="62"/>
  <c r="T28" i="62"/>
  <c r="I11" i="62"/>
  <c r="F11" i="62"/>
  <c r="G10" i="62"/>
  <c r="G9" i="62"/>
  <c r="D9" i="62"/>
  <c r="G7" i="62"/>
  <c r="E7" i="62"/>
  <c r="L6" i="62"/>
  <c r="K6" i="62"/>
  <c r="H6" i="62"/>
  <c r="L5" i="62"/>
  <c r="K5" i="62"/>
  <c r="H5" i="62"/>
  <c r="T79" i="62"/>
  <c r="T78" i="62"/>
  <c r="T221" i="62"/>
  <c r="T220" i="62"/>
  <c r="T186" i="62"/>
  <c r="T185" i="62"/>
  <c r="T151" i="62"/>
  <c r="T150" i="62"/>
  <c r="F61" i="62"/>
  <c r="E61" i="62"/>
  <c r="H60" i="62"/>
  <c r="F60" i="62"/>
  <c r="E60" i="62"/>
  <c r="H59" i="62"/>
  <c r="F59" i="62"/>
  <c r="E59" i="62"/>
  <c r="F58" i="62"/>
  <c r="H58" i="62" s="1"/>
  <c r="E56" i="62"/>
  <c r="D56" i="62"/>
  <c r="L55" i="62"/>
  <c r="K55" i="62"/>
  <c r="H164" i="62"/>
  <c r="G164" i="62"/>
  <c r="F130" i="62"/>
  <c r="E130" i="62"/>
  <c r="F129" i="62"/>
  <c r="G128" i="62"/>
  <c r="I127" i="62"/>
  <c r="T50" i="62" l="1"/>
  <c r="H11" i="62"/>
  <c r="E8" i="62"/>
  <c r="F5" i="62"/>
  <c r="C5" i="62" s="1"/>
  <c r="F10" i="62"/>
  <c r="G5" i="62"/>
  <c r="D6" i="62"/>
  <c r="D5" i="62"/>
  <c r="F6" i="62"/>
  <c r="C6" i="62" s="1"/>
  <c r="H61" i="62"/>
  <c r="O5" i="3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T5" authorId="0" shapeId="0" xr:uid="{10576B48-9ACE-43D3-82CF-1B8C70FC6987}">
      <text>
        <r>
          <rPr>
            <b/>
            <sz val="9"/>
            <color indexed="81"/>
            <rFont val="Tahoma"/>
            <family val="2"/>
          </rPr>
          <t>Andy Gleadall:</t>
        </r>
        <r>
          <rPr>
            <sz val="9"/>
            <color indexed="81"/>
            <rFont val="Tahoma"/>
            <family val="2"/>
          </rPr>
          <t xml:space="preserve">
If there are hundreds or thousands of designs in the RecycleBin worksheet, select all its contents and delete.</t>
        </r>
      </text>
    </comment>
    <comment ref="A6" authorId="0" shapeId="0" xr:uid="{317AA501-01FA-4F56-A7F9-DC6F9ECEACDC}">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6" authorId="0" shapeId="0" xr:uid="{D83F208B-CACF-439B-91CF-4B75A08A75A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 authorId="0" shapeId="0" xr:uid="{4FB2DECE-4141-4EBB-B2FC-89CDF454D06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0" authorId="0" shapeId="0" xr:uid="{2889C638-8530-4CDD-9E91-A9D28863B50B}">
      <text>
        <r>
          <rPr>
            <b/>
            <sz val="9"/>
            <color indexed="81"/>
            <rFont val="Tahoma"/>
            <family val="2"/>
          </rPr>
          <t>Andy Gleadall:</t>
        </r>
        <r>
          <rPr>
            <sz val="9"/>
            <color indexed="81"/>
            <rFont val="Tahoma"/>
            <family val="2"/>
          </rPr>
          <t xml:space="preserve">
Only applied to GCODE - not the data in the Printpath worksheet</t>
        </r>
      </text>
    </comment>
    <comment ref="S11" authorId="0" shapeId="0" xr:uid="{415ED58C-85FD-4EF2-B5B4-03BCBC4F7BCC}">
      <text>
        <r>
          <rPr>
            <b/>
            <sz val="9"/>
            <color indexed="81"/>
            <rFont val="Tahoma"/>
            <family val="2"/>
          </rPr>
          <t>Andy Gleadall:</t>
        </r>
        <r>
          <rPr>
            <sz val="9"/>
            <color indexed="81"/>
            <rFont val="Tahoma"/>
            <family val="2"/>
          </rPr>
          <t xml:space="preserve">
Only applied to GCODE - not the data in the Printpath worksheet</t>
        </r>
      </text>
    </comment>
    <comment ref="S12" authorId="0" shapeId="0" xr:uid="{7484F853-51FE-4792-8A98-5029E890CCED}">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 authorId="0" shapeId="0" xr:uid="{84F79950-8D8C-4A65-A048-731FB6E9BC66}">
      <text>
        <r>
          <rPr>
            <b/>
            <sz val="9"/>
            <color indexed="81"/>
            <rFont val="Tahoma"/>
            <family val="2"/>
          </rPr>
          <t>Andy Gleadall:</t>
        </r>
        <r>
          <rPr>
            <sz val="9"/>
            <color indexed="81"/>
            <rFont val="Tahoma"/>
            <family val="2"/>
          </rPr>
          <t xml:space="preserve">
Tool selected at the end of the startGCODE</t>
        </r>
      </text>
    </comment>
    <comment ref="S15" authorId="0" shapeId="0" xr:uid="{922C108E-5467-4ABE-BB12-69FEB3062B1B}">
      <text>
        <r>
          <rPr>
            <b/>
            <sz val="9"/>
            <color indexed="81"/>
            <rFont val="Tahoma"/>
            <family val="2"/>
          </rPr>
          <t>Andy Gleadall:</t>
        </r>
        <r>
          <rPr>
            <sz val="9"/>
            <color indexed="81"/>
            <rFont val="Tahoma"/>
            <family val="2"/>
          </rPr>
          <t xml:space="preserve">
ONLY USED IF MANUALLY LINKED TO START GCODE</t>
        </r>
      </text>
    </comment>
    <comment ref="S16" authorId="0" shapeId="0" xr:uid="{FF14E8E8-041D-4B11-9DAB-4374D1F24AE3}">
      <text>
        <r>
          <rPr>
            <b/>
            <sz val="9"/>
            <color indexed="81"/>
            <rFont val="Tahoma"/>
            <family val="2"/>
          </rPr>
          <t>Andy Gleadall:</t>
        </r>
        <r>
          <rPr>
            <sz val="9"/>
            <color indexed="81"/>
            <rFont val="Tahoma"/>
            <family val="2"/>
          </rPr>
          <t xml:space="preserve">
Default speed when the nozzle is moving and extruding material</t>
        </r>
      </text>
    </comment>
    <comment ref="S17" authorId="0" shapeId="0" xr:uid="{BEC75B03-1AB6-4732-92EF-FD505D1447B3}">
      <text>
        <r>
          <rPr>
            <b/>
            <sz val="9"/>
            <color indexed="81"/>
            <rFont val="Tahoma"/>
            <family val="2"/>
          </rPr>
          <t>Andy Gleadall:</t>
        </r>
        <r>
          <rPr>
            <sz val="9"/>
            <color indexed="81"/>
            <rFont val="Tahoma"/>
            <family val="2"/>
          </rPr>
          <t xml:space="preserve">
Default speed when the nozzle is moving whilst not extruding</t>
        </r>
      </text>
    </comment>
    <comment ref="S18" authorId="0" shapeId="0" xr:uid="{71826BEA-F5FF-4269-B2E8-86826E37C75C}">
      <text>
        <r>
          <rPr>
            <b/>
            <sz val="9"/>
            <color indexed="81"/>
            <rFont val="Tahoma"/>
            <family val="2"/>
          </rPr>
          <t>Andy Gleadall:</t>
        </r>
        <r>
          <rPr>
            <sz val="9"/>
            <color indexed="81"/>
            <rFont val="Tahoma"/>
            <family val="2"/>
          </rPr>
          <t xml:space="preserve">
This value is only used if it is manually linked to the start GCODE.</t>
        </r>
      </text>
    </comment>
    <comment ref="S19" authorId="0" shapeId="0" xr:uid="{3E83B190-E980-4DA7-BC61-247869849A8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 authorId="0" shapeId="0" xr:uid="{F01CD2AD-AA8E-43F2-9E35-39872C94D6DC}">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 authorId="0" shapeId="0" xr:uid="{170F5667-BE53-4B60-B408-0CAEC6F3930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2" authorId="0" shapeId="0" xr:uid="{414FD6EC-7365-4A21-8EDA-150EFEE57D11}">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3" authorId="0" shapeId="0" xr:uid="{7EEC9FDC-AF5B-48CA-BC6F-6891CDCF9D17}">
      <text>
        <r>
          <rPr>
            <b/>
            <sz val="9"/>
            <color indexed="81"/>
            <rFont val="Tahoma"/>
            <family val="2"/>
          </rPr>
          <t>Andy Gleadall:</t>
        </r>
        <r>
          <rPr>
            <sz val="9"/>
            <color indexed="81"/>
            <rFont val="Tahoma"/>
            <family val="2"/>
          </rPr>
          <t xml:space="preserve">
Position af the nozzle at the end of the StartGCODE</t>
        </r>
      </text>
    </comment>
    <comment ref="S24" authorId="0" shapeId="0" xr:uid="{2FE6F61B-DDEE-4624-A62F-611AA7960D71}">
      <text>
        <r>
          <rPr>
            <b/>
            <sz val="9"/>
            <color indexed="81"/>
            <rFont val="Tahoma"/>
            <family val="2"/>
          </rPr>
          <t>Andy Gleadall:</t>
        </r>
        <r>
          <rPr>
            <sz val="9"/>
            <color indexed="81"/>
            <rFont val="Tahoma"/>
            <family val="2"/>
          </rPr>
          <t xml:space="preserve">
Position af the nozzle at the end of the StartGCODE</t>
        </r>
      </text>
    </comment>
    <comment ref="S25" authorId="0" shapeId="0" xr:uid="{C617A6AC-E1C1-4B4A-9BFB-7177622D6CAC}">
      <text>
        <r>
          <rPr>
            <b/>
            <sz val="9"/>
            <color indexed="81"/>
            <rFont val="Tahoma"/>
            <family val="2"/>
          </rPr>
          <t>Andy Gleadall:</t>
        </r>
        <r>
          <rPr>
            <sz val="9"/>
            <color indexed="81"/>
            <rFont val="Tahoma"/>
            <family val="2"/>
          </rPr>
          <t xml:space="preserve">
Position af the nozzle at the end of the StartGCODE - EXCLUDING THE Zoffset!</t>
        </r>
      </text>
    </comment>
    <comment ref="S26" authorId="0" shapeId="0" xr:uid="{BA071B70-327D-48BC-A841-7A2ED7C706D9}">
      <text>
        <r>
          <rPr>
            <b/>
            <sz val="9"/>
            <color indexed="81"/>
            <rFont val="Tahoma"/>
            <family val="2"/>
          </rPr>
          <t>Andy Gleadall:</t>
        </r>
        <r>
          <rPr>
            <sz val="9"/>
            <color indexed="81"/>
            <rFont val="Tahoma"/>
            <family val="2"/>
          </rPr>
          <t xml:space="preserve">
This value is only used if it is manually linked to the start GCODE.</t>
        </r>
      </text>
    </comment>
    <comment ref="S27" authorId="0" shapeId="0" xr:uid="{7A0E351C-33D4-486C-B923-915182CD557C}">
      <text>
        <r>
          <rPr>
            <b/>
            <sz val="9"/>
            <color indexed="81"/>
            <rFont val="Tahoma"/>
            <family val="2"/>
          </rPr>
          <t>Andy Gleadall:</t>
        </r>
        <r>
          <rPr>
            <sz val="9"/>
            <color indexed="81"/>
            <rFont val="Tahoma"/>
            <family val="2"/>
          </rPr>
          <t xml:space="preserve">
Leave as "no" unless you've watched the relevant tutorial video</t>
        </r>
      </text>
    </comment>
    <comment ref="S28" authorId="0" shapeId="0" xr:uid="{51A307AD-9E59-453D-AF65-548616CA3FC1}">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31" authorId="0" shapeId="0" xr:uid="{6AFF731A-40A8-4F04-9701-D1D36EFFDDAA}">
      <text>
        <r>
          <rPr>
            <b/>
            <sz val="9"/>
            <color indexed="81"/>
            <rFont val="Tahoma"/>
            <family val="2"/>
          </rPr>
          <t>Andy Gleadall:</t>
        </r>
        <r>
          <rPr>
            <sz val="9"/>
            <color indexed="81"/>
            <rFont val="Tahoma"/>
            <family val="2"/>
          </rPr>
          <t xml:space="preserve">
Unretraction occurs at the end of the non-extruding travel movement</t>
        </r>
      </text>
    </comment>
    <comment ref="S32" authorId="0" shapeId="0" xr:uid="{9FD4153B-B856-43E1-BE15-DCA833327FB2}">
      <text>
        <r>
          <rPr>
            <b/>
            <sz val="9"/>
            <color indexed="81"/>
            <rFont val="Tahoma"/>
            <family val="2"/>
          </rPr>
          <t>Andy Gleadall:</t>
        </r>
        <r>
          <rPr>
            <sz val="9"/>
            <color indexed="81"/>
            <rFont val="Tahoma"/>
            <family val="2"/>
          </rPr>
          <t xml:space="preserve">
Unretraction occurs at the end of the non-extruding travel movement</t>
        </r>
      </text>
    </comment>
    <comment ref="S33" authorId="0" shapeId="0" xr:uid="{C3DCFFC7-08B6-46BC-A76F-C5E3DB6F4067}">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6" authorId="0" shapeId="0" xr:uid="{BE5780F5-BBE0-432C-8054-0F00D517DB0A}">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6" authorId="0" shapeId="0" xr:uid="{8F5B0B49-CA0B-4C8A-8D4C-782E445B06E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6" authorId="0" shapeId="0" xr:uid="{E294E88B-8E82-40D7-AF42-DE89749D7661}">
      <text>
        <r>
          <rPr>
            <b/>
            <sz val="9"/>
            <color indexed="81"/>
            <rFont val="Tahoma"/>
            <family val="2"/>
          </rPr>
          <t>Andy Gleadall:</t>
        </r>
        <r>
          <rPr>
            <sz val="9"/>
            <color indexed="81"/>
            <rFont val="Tahoma"/>
            <family val="2"/>
          </rPr>
          <t xml:space="preserve">
Not used, but good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DA635D0B-D991-45F7-B301-94114F04EF78}">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58CF70FA-E3F5-4DDC-8E34-9E99C0A0A87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20EDCE2B-40B2-4404-AEB8-E8B6C67A8EDC}">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3F10DFB6-6767-4F05-920F-7A4FC9100D92}">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978FCDAC-ED25-4CF8-A66D-863E2EC7EEEC}">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E9CB886C-FB3D-4899-A933-E0198586E9D8}">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A117479C-6A1B-421D-8604-7CE7D51AE1F1}">
      <text>
        <r>
          <rPr>
            <b/>
            <sz val="9"/>
            <color indexed="81"/>
            <rFont val="Tahoma"/>
            <family val="2"/>
          </rPr>
          <t>Andy Gleadall:</t>
        </r>
        <r>
          <rPr>
            <sz val="9"/>
            <color indexed="81"/>
            <rFont val="Tahoma"/>
            <family val="2"/>
          </rPr>
          <t xml:space="preserve">
Tool selected at the end of the startGCODE</t>
        </r>
      </text>
    </comment>
    <comment ref="S12" authorId="0" shapeId="0" xr:uid="{BC32B833-3DFF-442C-9D24-77261DB0553D}">
      <text>
        <r>
          <rPr>
            <b/>
            <sz val="9"/>
            <color indexed="81"/>
            <rFont val="Tahoma"/>
            <family val="2"/>
          </rPr>
          <t>Andy Gleadall:</t>
        </r>
        <r>
          <rPr>
            <sz val="9"/>
            <color indexed="81"/>
            <rFont val="Tahoma"/>
            <family val="2"/>
          </rPr>
          <t xml:space="preserve">
ONLY USED IF MANUALLY LINKED TO START GCODE</t>
        </r>
      </text>
    </comment>
    <comment ref="S13" authorId="0" shapeId="0" xr:uid="{2AF735B0-43FF-4751-B720-F3930E1ACFDD}">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FFDAABBF-08EC-4233-9A9B-97D43A350178}">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2A52E719-F4E3-408C-A3F7-4AD0852F1C36}">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48A57E59-DC65-42B2-8795-406986F0A37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D6153177-8343-4B18-810B-3671D961078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9D1B1BE1-E6C3-4F27-98D8-41E89B2BAEB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FE5F9737-7388-4D24-82AF-A4406E52D99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7ADAFF04-FF75-4B89-B869-4F84DC60B077}">
      <text>
        <r>
          <rPr>
            <b/>
            <sz val="9"/>
            <color indexed="81"/>
            <rFont val="Tahoma"/>
            <family val="2"/>
          </rPr>
          <t>Andy Gleadall:</t>
        </r>
        <r>
          <rPr>
            <sz val="9"/>
            <color indexed="81"/>
            <rFont val="Tahoma"/>
            <family val="2"/>
          </rPr>
          <t xml:space="preserve">
Position af the nozzle at the end of the StartGCODE</t>
        </r>
      </text>
    </comment>
    <comment ref="S21" authorId="0" shapeId="0" xr:uid="{8A068C88-F6EE-4C47-A59B-4EB945D29DDF}">
      <text>
        <r>
          <rPr>
            <b/>
            <sz val="9"/>
            <color indexed="81"/>
            <rFont val="Tahoma"/>
            <family val="2"/>
          </rPr>
          <t>Andy Gleadall:</t>
        </r>
        <r>
          <rPr>
            <sz val="9"/>
            <color indexed="81"/>
            <rFont val="Tahoma"/>
            <family val="2"/>
          </rPr>
          <t xml:space="preserve">
Position af the nozzle at the end of the StartGCODE</t>
        </r>
      </text>
    </comment>
    <comment ref="S22" authorId="0" shapeId="0" xr:uid="{5D690B48-F1B0-477A-884D-6A55A0A60848}">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1221396-34AB-42A2-8204-B1E84ABF4446}">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6F54EFCC-540E-4BC3-B894-91B61FBB7B81}">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CA100FD8-42AB-4428-A2D8-A60A0DB0FEA2}">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D00D0B71-08C3-4010-B049-CB2172F2E740}">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4889B53C-0F91-4238-B2C5-C9D79DB4E74D}">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AE5B0F51-9EAE-4CEA-968C-59CC930805F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E4D824D-2B3E-4D69-BC9A-7332F926B85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77A65331-6EFD-4CF4-A3E5-496F59BA5CEC}">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3974E376-A170-40A7-86B0-10AD08F59F83}">
      <text>
        <r>
          <rPr>
            <b/>
            <sz val="9"/>
            <color indexed="81"/>
            <rFont val="Tahoma"/>
            <family val="2"/>
          </rPr>
          <t>Andy Gleadall:</t>
        </r>
        <r>
          <rPr>
            <sz val="9"/>
            <color indexed="81"/>
            <rFont val="Tahoma"/>
            <family val="2"/>
          </rPr>
          <t xml:space="preserve">
Not used, but good practice!</t>
        </r>
      </text>
    </comment>
    <comment ref="A37" authorId="0" shapeId="0" xr:uid="{6C1EA422-E4EB-419A-AAB5-B1C184F869C7}">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7" authorId="0" shapeId="0" xr:uid="{AC4E780E-AFED-4EC8-98B8-C209F483E1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40" authorId="0" shapeId="0" xr:uid="{748A38F4-52A4-40A3-A203-8A37A8C617F6}">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41" authorId="0" shapeId="0" xr:uid="{98168F5F-F957-4483-8BF9-2F8E976108FF}">
      <text>
        <r>
          <rPr>
            <b/>
            <sz val="9"/>
            <color indexed="81"/>
            <rFont val="Tahoma"/>
            <family val="2"/>
          </rPr>
          <t>Andy Gleadall:</t>
        </r>
        <r>
          <rPr>
            <sz val="9"/>
            <color indexed="81"/>
            <rFont val="Tahoma"/>
            <family val="2"/>
          </rPr>
          <t xml:space="preserve">
Only applied to GCODE - not the data in the Printpath worksheet</t>
        </r>
      </text>
    </comment>
    <comment ref="S42" authorId="0" shapeId="0" xr:uid="{0FD69AD4-9A45-42E8-8447-F176C410CC07}">
      <text>
        <r>
          <rPr>
            <b/>
            <sz val="9"/>
            <color indexed="81"/>
            <rFont val="Tahoma"/>
            <family val="2"/>
          </rPr>
          <t>Andy Gleadall:</t>
        </r>
        <r>
          <rPr>
            <sz val="9"/>
            <color indexed="81"/>
            <rFont val="Tahoma"/>
            <family val="2"/>
          </rPr>
          <t xml:space="preserve">
Only applied to GCODE - not the data in the Printpath worksheet</t>
        </r>
      </text>
    </comment>
    <comment ref="S43" authorId="0" shapeId="0" xr:uid="{F2782B17-1088-4A28-9E7A-76898346008A}">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44" authorId="0" shapeId="0" xr:uid="{226182F4-03BD-4BB6-9B86-5383D096641A}">
      <text>
        <r>
          <rPr>
            <b/>
            <sz val="9"/>
            <color indexed="81"/>
            <rFont val="Tahoma"/>
            <family val="2"/>
          </rPr>
          <t>Andy Gleadall:</t>
        </r>
        <r>
          <rPr>
            <sz val="9"/>
            <color indexed="81"/>
            <rFont val="Tahoma"/>
            <family val="2"/>
          </rPr>
          <t xml:space="preserve">
Tool selected at the end of the startGCODE</t>
        </r>
      </text>
    </comment>
    <comment ref="S46" authorId="0" shapeId="0" xr:uid="{C0EC7785-BB49-45BF-A987-7F9DC0FF8D49}">
      <text>
        <r>
          <rPr>
            <b/>
            <sz val="9"/>
            <color indexed="81"/>
            <rFont val="Tahoma"/>
            <family val="2"/>
          </rPr>
          <t>Andy Gleadall:</t>
        </r>
        <r>
          <rPr>
            <sz val="9"/>
            <color indexed="81"/>
            <rFont val="Tahoma"/>
            <family val="2"/>
          </rPr>
          <t xml:space="preserve">
ONLY USED IF MANUALLY LINKED TO START GCODE</t>
        </r>
      </text>
    </comment>
    <comment ref="S47" authorId="0" shapeId="0" xr:uid="{F7685F68-94D5-4413-9095-4934DAD90461}">
      <text>
        <r>
          <rPr>
            <b/>
            <sz val="9"/>
            <color indexed="81"/>
            <rFont val="Tahoma"/>
            <family val="2"/>
          </rPr>
          <t>Andy Gleadall:</t>
        </r>
        <r>
          <rPr>
            <sz val="9"/>
            <color indexed="81"/>
            <rFont val="Tahoma"/>
            <family val="2"/>
          </rPr>
          <t xml:space="preserve">
Default speed when the nozzle is moving and extruding material</t>
        </r>
      </text>
    </comment>
    <comment ref="S48" authorId="0" shapeId="0" xr:uid="{91347A79-6964-4C90-A5A0-DAF90D3243BB}">
      <text>
        <r>
          <rPr>
            <b/>
            <sz val="9"/>
            <color indexed="81"/>
            <rFont val="Tahoma"/>
            <family val="2"/>
          </rPr>
          <t>Andy Gleadall:</t>
        </r>
        <r>
          <rPr>
            <sz val="9"/>
            <color indexed="81"/>
            <rFont val="Tahoma"/>
            <family val="2"/>
          </rPr>
          <t xml:space="preserve">
Default speed when the nozzle is moving whilst not extruding</t>
        </r>
      </text>
    </comment>
    <comment ref="S49" authorId="0" shapeId="0" xr:uid="{2EAF88E7-4CF6-4B5A-917D-C0862DC77DDB}">
      <text>
        <r>
          <rPr>
            <b/>
            <sz val="9"/>
            <color indexed="81"/>
            <rFont val="Tahoma"/>
            <family val="2"/>
          </rPr>
          <t>Andy Gleadall:</t>
        </r>
        <r>
          <rPr>
            <sz val="9"/>
            <color indexed="81"/>
            <rFont val="Tahoma"/>
            <family val="2"/>
          </rPr>
          <t xml:space="preserve">
This value is only used if it is manually linked to the start GCODE.</t>
        </r>
      </text>
    </comment>
    <comment ref="S50" authorId="0" shapeId="0" xr:uid="{89FBC4D0-B989-475C-A122-F3E3855E4CD1}">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51" authorId="0" shapeId="0" xr:uid="{5B0E37CC-ABA0-4535-8B3D-02D834DCFF4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52" authorId="0" shapeId="0" xr:uid="{0B97E508-AF14-423D-8FC8-A7B5566E54A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3" authorId="0" shapeId="0" xr:uid="{08B9C583-CC93-4D19-A881-8090A10196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54" authorId="0" shapeId="0" xr:uid="{194B4D90-30B3-4A47-B497-3A952D078B11}">
      <text>
        <r>
          <rPr>
            <b/>
            <sz val="9"/>
            <color indexed="81"/>
            <rFont val="Tahoma"/>
            <family val="2"/>
          </rPr>
          <t>Andy Gleadall:</t>
        </r>
        <r>
          <rPr>
            <sz val="9"/>
            <color indexed="81"/>
            <rFont val="Tahoma"/>
            <family val="2"/>
          </rPr>
          <t xml:space="preserve">
Position af the nozzle at the end of the StartGCODE</t>
        </r>
      </text>
    </comment>
    <comment ref="S55" authorId="0" shapeId="0" xr:uid="{C35DBC21-F243-4B8E-B42A-574BEEC176EE}">
      <text>
        <r>
          <rPr>
            <b/>
            <sz val="9"/>
            <color indexed="81"/>
            <rFont val="Tahoma"/>
            <family val="2"/>
          </rPr>
          <t>Andy Gleadall:</t>
        </r>
        <r>
          <rPr>
            <sz val="9"/>
            <color indexed="81"/>
            <rFont val="Tahoma"/>
            <family val="2"/>
          </rPr>
          <t xml:space="preserve">
Position af the nozzle at the end of the StartGCODE</t>
        </r>
      </text>
    </comment>
    <comment ref="S56" authorId="0" shapeId="0" xr:uid="{82B97FC3-63C4-44A6-8444-DCB2F6E2F04A}">
      <text>
        <r>
          <rPr>
            <b/>
            <sz val="9"/>
            <color indexed="81"/>
            <rFont val="Tahoma"/>
            <family val="2"/>
          </rPr>
          <t>Andy Gleadall:</t>
        </r>
        <r>
          <rPr>
            <sz val="9"/>
            <color indexed="81"/>
            <rFont val="Tahoma"/>
            <family val="2"/>
          </rPr>
          <t xml:space="preserve">
Position af the nozzle at the end of the StartGCODE - EXCLUDING THE Zoffset!</t>
        </r>
      </text>
    </comment>
    <comment ref="S57" authorId="0" shapeId="0" xr:uid="{6537065C-FDED-49AF-BD69-2866880901F8}">
      <text>
        <r>
          <rPr>
            <b/>
            <sz val="9"/>
            <color indexed="81"/>
            <rFont val="Tahoma"/>
            <family val="2"/>
          </rPr>
          <t>Andy Gleadall:</t>
        </r>
        <r>
          <rPr>
            <sz val="9"/>
            <color indexed="81"/>
            <rFont val="Tahoma"/>
            <family val="2"/>
          </rPr>
          <t xml:space="preserve">
This value is only used if it is manually linked to the start GCODE.</t>
        </r>
      </text>
    </comment>
    <comment ref="S58" authorId="0" shapeId="0" xr:uid="{EC9E8B24-B60E-484D-9009-DEC872766223}">
      <text>
        <r>
          <rPr>
            <b/>
            <sz val="9"/>
            <color indexed="81"/>
            <rFont val="Tahoma"/>
            <family val="2"/>
          </rPr>
          <t>Andy Gleadall:</t>
        </r>
        <r>
          <rPr>
            <sz val="9"/>
            <color indexed="81"/>
            <rFont val="Tahoma"/>
            <family val="2"/>
          </rPr>
          <t xml:space="preserve">
Leave as "no" unless you've watched the relevant tutorial video</t>
        </r>
      </text>
    </comment>
    <comment ref="S59" authorId="0" shapeId="0" xr:uid="{54FB1196-D3EE-433B-92FF-A91D0821E166}">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62" authorId="0" shapeId="0" xr:uid="{14BFE91C-9EC5-4384-BB9E-B7220BA47C09}">
      <text>
        <r>
          <rPr>
            <b/>
            <sz val="9"/>
            <color indexed="81"/>
            <rFont val="Tahoma"/>
            <family val="2"/>
          </rPr>
          <t>Andy Gleadall:</t>
        </r>
        <r>
          <rPr>
            <sz val="9"/>
            <color indexed="81"/>
            <rFont val="Tahoma"/>
            <family val="2"/>
          </rPr>
          <t xml:space="preserve">
Unretraction occurs at the end of the non-extruding travel movement</t>
        </r>
      </text>
    </comment>
    <comment ref="S63" authorId="0" shapeId="0" xr:uid="{BAA1A63B-ACE8-408E-B32A-AB7B63949682}">
      <text>
        <r>
          <rPr>
            <b/>
            <sz val="9"/>
            <color indexed="81"/>
            <rFont val="Tahoma"/>
            <family val="2"/>
          </rPr>
          <t>Andy Gleadall:</t>
        </r>
        <r>
          <rPr>
            <sz val="9"/>
            <color indexed="81"/>
            <rFont val="Tahoma"/>
            <family val="2"/>
          </rPr>
          <t xml:space="preserve">
Unretraction occurs at the end of the non-extruding travel movement</t>
        </r>
      </text>
    </comment>
    <comment ref="S64" authorId="0" shapeId="0" xr:uid="{1E3B767F-4FC1-4EDD-8866-856C7644077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67" authorId="0" shapeId="0" xr:uid="{04A3F12D-7C01-4C14-A641-7E7602366A5D}">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67" authorId="0" shapeId="0" xr:uid="{A7182C41-1300-4A23-9834-ECADFE00F18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67" authorId="0" shapeId="0" xr:uid="{53476555-27D4-425B-A15A-A19B1F85B225}">
      <text>
        <r>
          <rPr>
            <b/>
            <sz val="9"/>
            <color indexed="81"/>
            <rFont val="Tahoma"/>
            <family val="2"/>
          </rPr>
          <t>Andy Gleadall:</t>
        </r>
        <r>
          <rPr>
            <sz val="9"/>
            <color indexed="81"/>
            <rFont val="Tahoma"/>
            <family val="2"/>
          </rPr>
          <t xml:space="preserve">
Not used, but good practice!</t>
        </r>
      </text>
    </comment>
    <comment ref="A71" authorId="0" shapeId="0" xr:uid="{6F67E397-AB77-4170-82FA-AD9ADCE492F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71" authorId="0" shapeId="0" xr:uid="{D753DD76-FB06-441B-A7EA-B36F9A917492}">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74" authorId="0" shapeId="0" xr:uid="{2B44C53A-6718-4334-80C5-BBFA14B75430}">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5" authorId="0" shapeId="0" xr:uid="{DD7CF92E-3D29-4872-96FE-576CD2ABF722}">
      <text>
        <r>
          <rPr>
            <b/>
            <sz val="9"/>
            <color indexed="81"/>
            <rFont val="Tahoma"/>
            <family val="2"/>
          </rPr>
          <t>Andy Gleadall:</t>
        </r>
        <r>
          <rPr>
            <sz val="9"/>
            <color indexed="81"/>
            <rFont val="Tahoma"/>
            <family val="2"/>
          </rPr>
          <t xml:space="preserve">
Only applied to GCODE - not the data in the Printpath worksheet</t>
        </r>
      </text>
    </comment>
    <comment ref="S76" authorId="0" shapeId="0" xr:uid="{A24745D8-B96E-4CAC-89FA-D9604650BEE4}">
      <text>
        <r>
          <rPr>
            <b/>
            <sz val="9"/>
            <color indexed="81"/>
            <rFont val="Tahoma"/>
            <family val="2"/>
          </rPr>
          <t>Andy Gleadall:</t>
        </r>
        <r>
          <rPr>
            <sz val="9"/>
            <color indexed="81"/>
            <rFont val="Tahoma"/>
            <family val="2"/>
          </rPr>
          <t xml:space="preserve">
Only applied to GCODE - not the data in the Printpath worksheet</t>
        </r>
      </text>
    </comment>
    <comment ref="S77" authorId="0" shapeId="0" xr:uid="{FDF2F9F0-0512-423B-AB86-47FE43D8FA4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78" authorId="0" shapeId="0" xr:uid="{950F48CB-AD1C-4FE9-8BD2-0152A2A3D8BE}">
      <text>
        <r>
          <rPr>
            <b/>
            <sz val="9"/>
            <color indexed="81"/>
            <rFont val="Tahoma"/>
            <family val="2"/>
          </rPr>
          <t>Andy Gleadall:</t>
        </r>
        <r>
          <rPr>
            <sz val="9"/>
            <color indexed="81"/>
            <rFont val="Tahoma"/>
            <family val="2"/>
          </rPr>
          <t xml:space="preserve">
Tool selected at the end of the startGCODE</t>
        </r>
      </text>
    </comment>
    <comment ref="S80" authorId="0" shapeId="0" xr:uid="{0BDBC7CC-BBD8-4126-9577-86A1B16F10D0}">
      <text>
        <r>
          <rPr>
            <b/>
            <sz val="9"/>
            <color indexed="81"/>
            <rFont val="Tahoma"/>
            <family val="2"/>
          </rPr>
          <t>Andy Gleadall:</t>
        </r>
        <r>
          <rPr>
            <sz val="9"/>
            <color indexed="81"/>
            <rFont val="Tahoma"/>
            <family val="2"/>
          </rPr>
          <t xml:space="preserve">
ONLY USED IF MANUALLY LINKED TO START GCODE</t>
        </r>
      </text>
    </comment>
    <comment ref="S81" authorId="0" shapeId="0" xr:uid="{6BA907EE-8173-4D2E-8FC3-B2EED1D733F4}">
      <text>
        <r>
          <rPr>
            <b/>
            <sz val="9"/>
            <color indexed="81"/>
            <rFont val="Tahoma"/>
            <family val="2"/>
          </rPr>
          <t>Andy Gleadall:</t>
        </r>
        <r>
          <rPr>
            <sz val="9"/>
            <color indexed="81"/>
            <rFont val="Tahoma"/>
            <family val="2"/>
          </rPr>
          <t xml:space="preserve">
Default speed when the nozzle is moving and extruding material</t>
        </r>
      </text>
    </comment>
    <comment ref="S82" authorId="0" shapeId="0" xr:uid="{6772B98A-8CE5-4850-AFB6-D8516097A68A}">
      <text>
        <r>
          <rPr>
            <b/>
            <sz val="9"/>
            <color indexed="81"/>
            <rFont val="Tahoma"/>
            <family val="2"/>
          </rPr>
          <t>Andy Gleadall:</t>
        </r>
        <r>
          <rPr>
            <sz val="9"/>
            <color indexed="81"/>
            <rFont val="Tahoma"/>
            <family val="2"/>
          </rPr>
          <t xml:space="preserve">
Default speed when the nozzle is moving whilst not extruding</t>
        </r>
      </text>
    </comment>
    <comment ref="S83" authorId="0" shapeId="0" xr:uid="{632938E2-0E9D-4E9D-9F66-EC576D45E2BD}">
      <text>
        <r>
          <rPr>
            <b/>
            <sz val="9"/>
            <color indexed="81"/>
            <rFont val="Tahoma"/>
            <family val="2"/>
          </rPr>
          <t>Andy Gleadall:</t>
        </r>
        <r>
          <rPr>
            <sz val="9"/>
            <color indexed="81"/>
            <rFont val="Tahoma"/>
            <family val="2"/>
          </rPr>
          <t xml:space="preserve">
This value is only used if it is manually linked to the start GCODE.</t>
        </r>
      </text>
    </comment>
    <comment ref="S84" authorId="0" shapeId="0" xr:uid="{0194C2E3-97C5-4366-B3E2-E78630D66C4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85" authorId="0" shapeId="0" xr:uid="{10D2E77B-816C-4D4B-9122-410500A5E0D7}">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86" authorId="0" shapeId="0" xr:uid="{4FE24F51-B577-476A-858C-8EBAF49B576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7" authorId="0" shapeId="0" xr:uid="{2EAC31DB-12C1-4ECF-B1CE-4809F9ED9D09}">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88" authorId="0" shapeId="0" xr:uid="{41CF0767-5A3C-4391-9470-5479B970442F}">
      <text>
        <r>
          <rPr>
            <b/>
            <sz val="9"/>
            <color indexed="81"/>
            <rFont val="Tahoma"/>
            <family val="2"/>
          </rPr>
          <t>Andy Gleadall:</t>
        </r>
        <r>
          <rPr>
            <sz val="9"/>
            <color indexed="81"/>
            <rFont val="Tahoma"/>
            <family val="2"/>
          </rPr>
          <t xml:space="preserve">
Position af the nozzle at the end of the StartGCODE</t>
        </r>
      </text>
    </comment>
    <comment ref="S89" authorId="0" shapeId="0" xr:uid="{28DF2538-92EF-4842-BC1D-0175F247DD7B}">
      <text>
        <r>
          <rPr>
            <b/>
            <sz val="9"/>
            <color indexed="81"/>
            <rFont val="Tahoma"/>
            <family val="2"/>
          </rPr>
          <t>Andy Gleadall:</t>
        </r>
        <r>
          <rPr>
            <sz val="9"/>
            <color indexed="81"/>
            <rFont val="Tahoma"/>
            <family val="2"/>
          </rPr>
          <t xml:space="preserve">
Position af the nozzle at the end of the StartGCODE</t>
        </r>
      </text>
    </comment>
    <comment ref="S90" authorId="0" shapeId="0" xr:uid="{A8BBC803-9B50-4B78-8572-21C622C65C47}">
      <text>
        <r>
          <rPr>
            <b/>
            <sz val="9"/>
            <color indexed="81"/>
            <rFont val="Tahoma"/>
            <family val="2"/>
          </rPr>
          <t>Andy Gleadall:</t>
        </r>
        <r>
          <rPr>
            <sz val="9"/>
            <color indexed="81"/>
            <rFont val="Tahoma"/>
            <family val="2"/>
          </rPr>
          <t xml:space="preserve">
Position af the nozzle at the end of the StartGCODE - EXCLUDING THE Zoffset!</t>
        </r>
      </text>
    </comment>
    <comment ref="S91" authorId="0" shapeId="0" xr:uid="{736A3CE9-9CE0-408D-BE37-1BAC522602E4}">
      <text>
        <r>
          <rPr>
            <b/>
            <sz val="9"/>
            <color indexed="81"/>
            <rFont val="Tahoma"/>
            <family val="2"/>
          </rPr>
          <t>Andy Gleadall:</t>
        </r>
        <r>
          <rPr>
            <sz val="9"/>
            <color indexed="81"/>
            <rFont val="Tahoma"/>
            <family val="2"/>
          </rPr>
          <t xml:space="preserve">
This value is only used if it is manually linked to the start GCODE.</t>
        </r>
      </text>
    </comment>
    <comment ref="S92" authorId="0" shapeId="0" xr:uid="{A8C47F3A-F033-47C1-AFA2-3FDB68C1841F}">
      <text>
        <r>
          <rPr>
            <b/>
            <sz val="9"/>
            <color indexed="81"/>
            <rFont val="Tahoma"/>
            <family val="2"/>
          </rPr>
          <t>Andy Gleadall:</t>
        </r>
        <r>
          <rPr>
            <sz val="9"/>
            <color indexed="81"/>
            <rFont val="Tahoma"/>
            <family val="2"/>
          </rPr>
          <t xml:space="preserve">
Leave as "no" unless you've watched the relevant tutorial video</t>
        </r>
      </text>
    </comment>
    <comment ref="S93" authorId="0" shapeId="0" xr:uid="{64CA4A95-9F1E-4126-A838-E129C89C1ADD}">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96" authorId="0" shapeId="0" xr:uid="{DDCB0922-B68B-4474-B08C-6A0F529DC97F}">
      <text>
        <r>
          <rPr>
            <b/>
            <sz val="9"/>
            <color indexed="81"/>
            <rFont val="Tahoma"/>
            <family val="2"/>
          </rPr>
          <t>Andy Gleadall:</t>
        </r>
        <r>
          <rPr>
            <sz val="9"/>
            <color indexed="81"/>
            <rFont val="Tahoma"/>
            <family val="2"/>
          </rPr>
          <t xml:space="preserve">
Unretraction occurs at the end of the non-extruding travel movement</t>
        </r>
      </text>
    </comment>
    <comment ref="S97" authorId="0" shapeId="0" xr:uid="{C73056B0-ACB7-4C20-9DFF-C10C853685B9}">
      <text>
        <r>
          <rPr>
            <b/>
            <sz val="9"/>
            <color indexed="81"/>
            <rFont val="Tahoma"/>
            <family val="2"/>
          </rPr>
          <t>Andy Gleadall:</t>
        </r>
        <r>
          <rPr>
            <sz val="9"/>
            <color indexed="81"/>
            <rFont val="Tahoma"/>
            <family val="2"/>
          </rPr>
          <t xml:space="preserve">
Unretraction occurs at the end of the non-extruding travel movement</t>
        </r>
      </text>
    </comment>
    <comment ref="S98" authorId="0" shapeId="0" xr:uid="{98858385-D7DC-42DE-9CB6-250D50188234}">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01" authorId="0" shapeId="0" xr:uid="{BBE09868-F324-46AB-BB72-35BC7DEC8E1B}">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01" authorId="0" shapeId="0" xr:uid="{72FD9AB5-868E-440A-A825-CB9E751ABFB0}">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01" authorId="0" shapeId="0" xr:uid="{3AF86126-B017-48CA-ACAD-139671DA9128}">
      <text>
        <r>
          <rPr>
            <b/>
            <sz val="9"/>
            <color indexed="81"/>
            <rFont val="Tahoma"/>
            <family val="2"/>
          </rPr>
          <t>Andy Gleadall:</t>
        </r>
        <r>
          <rPr>
            <sz val="9"/>
            <color indexed="81"/>
            <rFont val="Tahoma"/>
            <family val="2"/>
          </rPr>
          <t xml:space="preserve">
Not used, but good practice!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Andy Gleadall</author>
  </authors>
  <commentList>
    <comment ref="A3" authorId="0" shapeId="0" xr:uid="{C8BAB13D-8F95-4ABF-8128-7F0BF931452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3" authorId="0" shapeId="0" xr:uid="{9A92A1A2-C967-4140-BC96-1404650C8B1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6" authorId="0" shapeId="0" xr:uid="{90B0662F-CE04-442E-846D-A0000F237A79}">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7" authorId="0" shapeId="0" xr:uid="{7DAEAB8B-0EF2-4C55-86F1-7D15068F8554}">
      <text>
        <r>
          <rPr>
            <b/>
            <sz val="9"/>
            <color indexed="81"/>
            <rFont val="Tahoma"/>
            <family val="2"/>
          </rPr>
          <t>Andy Gleadall:</t>
        </r>
        <r>
          <rPr>
            <sz val="9"/>
            <color indexed="81"/>
            <rFont val="Tahoma"/>
            <family val="2"/>
          </rPr>
          <t xml:space="preserve">
Only applied to GCODE - not the data in the Printpath worksheet</t>
        </r>
      </text>
    </comment>
    <comment ref="S8" authorId="0" shapeId="0" xr:uid="{336A9C38-9E1D-4662-9D73-83B8D3D42026}">
      <text>
        <r>
          <rPr>
            <b/>
            <sz val="9"/>
            <color indexed="81"/>
            <rFont val="Tahoma"/>
            <family val="2"/>
          </rPr>
          <t>Andy Gleadall:</t>
        </r>
        <r>
          <rPr>
            <sz val="9"/>
            <color indexed="81"/>
            <rFont val="Tahoma"/>
            <family val="2"/>
          </rPr>
          <t xml:space="preserve">
Only applied to GCODE - not the data in the Printpath worksheet</t>
        </r>
      </text>
    </comment>
    <comment ref="S9" authorId="0" shapeId="0" xr:uid="{0EB1913E-1DD2-4174-B49F-B31A3012276E}">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0" authorId="0" shapeId="0" xr:uid="{3BBAFBFB-2934-44EC-9658-52FE89D982D7}">
      <text>
        <r>
          <rPr>
            <b/>
            <sz val="9"/>
            <color indexed="81"/>
            <rFont val="Tahoma"/>
            <family val="2"/>
          </rPr>
          <t>Andy Gleadall:</t>
        </r>
        <r>
          <rPr>
            <sz val="9"/>
            <color indexed="81"/>
            <rFont val="Tahoma"/>
            <family val="2"/>
          </rPr>
          <t xml:space="preserve">
Tool selected at the end of the startGCODE</t>
        </r>
      </text>
    </comment>
    <comment ref="S12" authorId="0" shapeId="0" xr:uid="{CB37C2AA-5E8C-4ABF-A3C5-6854D7D8D3FE}">
      <text>
        <r>
          <rPr>
            <b/>
            <sz val="9"/>
            <color indexed="81"/>
            <rFont val="Tahoma"/>
            <family val="2"/>
          </rPr>
          <t>Andy Gleadall:</t>
        </r>
        <r>
          <rPr>
            <sz val="9"/>
            <color indexed="81"/>
            <rFont val="Tahoma"/>
            <family val="2"/>
          </rPr>
          <t xml:space="preserve">
ONLY USED IF MANUALLY LINKED TO START GCODE</t>
        </r>
      </text>
    </comment>
    <comment ref="S13" authorId="0" shapeId="0" xr:uid="{481E39CE-17D5-4B1E-B038-46803C0DE5C6}">
      <text>
        <r>
          <rPr>
            <b/>
            <sz val="9"/>
            <color indexed="81"/>
            <rFont val="Tahoma"/>
            <family val="2"/>
          </rPr>
          <t>Andy Gleadall:</t>
        </r>
        <r>
          <rPr>
            <sz val="9"/>
            <color indexed="81"/>
            <rFont val="Tahoma"/>
            <family val="2"/>
          </rPr>
          <t xml:space="preserve">
Default speed when the nozzle is moving and extruding material</t>
        </r>
      </text>
    </comment>
    <comment ref="S14" authorId="0" shapeId="0" xr:uid="{02284DEC-A818-4E1A-A4E5-1163EF723FAF}">
      <text>
        <r>
          <rPr>
            <b/>
            <sz val="9"/>
            <color indexed="81"/>
            <rFont val="Tahoma"/>
            <family val="2"/>
          </rPr>
          <t>Andy Gleadall:</t>
        </r>
        <r>
          <rPr>
            <sz val="9"/>
            <color indexed="81"/>
            <rFont val="Tahoma"/>
            <family val="2"/>
          </rPr>
          <t xml:space="preserve">
Default speed when the nozzle is moving whilst not extruding</t>
        </r>
      </text>
    </comment>
    <comment ref="S15" authorId="0" shapeId="0" xr:uid="{99F476EE-97AD-46AB-90BD-EF78784AD774}">
      <text>
        <r>
          <rPr>
            <b/>
            <sz val="9"/>
            <color indexed="81"/>
            <rFont val="Tahoma"/>
            <family val="2"/>
          </rPr>
          <t>Andy Gleadall:</t>
        </r>
        <r>
          <rPr>
            <sz val="9"/>
            <color indexed="81"/>
            <rFont val="Tahoma"/>
            <family val="2"/>
          </rPr>
          <t xml:space="preserve">
This value is only used if it is manually linked to the start GCODE.</t>
        </r>
      </text>
    </comment>
    <comment ref="S16" authorId="0" shapeId="0" xr:uid="{A65FE6AB-3292-4706-ABD0-6A08482413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 authorId="0" shapeId="0" xr:uid="{3E4F2537-C763-40A0-8060-2B2F01565F95}">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8" authorId="0" shapeId="0" xr:uid="{0488E116-1AF3-4969-AE24-8E5F67D8AC68}">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9" authorId="0" shapeId="0" xr:uid="{7C0C7349-95B7-46C6-B767-FD45097CAA5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0" authorId="0" shapeId="0" xr:uid="{EBE23F3A-82DB-4EE4-A36C-5E02A4EEE024}">
      <text>
        <r>
          <rPr>
            <b/>
            <sz val="9"/>
            <color indexed="81"/>
            <rFont val="Tahoma"/>
            <family val="2"/>
          </rPr>
          <t>Andy Gleadall:</t>
        </r>
        <r>
          <rPr>
            <sz val="9"/>
            <color indexed="81"/>
            <rFont val="Tahoma"/>
            <family val="2"/>
          </rPr>
          <t xml:space="preserve">
Position af the nozzle at the end of the StartGCODE</t>
        </r>
      </text>
    </comment>
    <comment ref="S21" authorId="0" shapeId="0" xr:uid="{3DAA3FE5-AA67-4B0D-BC28-D4B62B432448}">
      <text>
        <r>
          <rPr>
            <b/>
            <sz val="9"/>
            <color indexed="81"/>
            <rFont val="Tahoma"/>
            <family val="2"/>
          </rPr>
          <t>Andy Gleadall:</t>
        </r>
        <r>
          <rPr>
            <sz val="9"/>
            <color indexed="81"/>
            <rFont val="Tahoma"/>
            <family val="2"/>
          </rPr>
          <t xml:space="preserve">
Position af the nozzle at the end of the StartGCODE</t>
        </r>
      </text>
    </comment>
    <comment ref="S22" authorId="0" shapeId="0" xr:uid="{4EC98013-400E-4919-87AD-5E7F45035261}">
      <text>
        <r>
          <rPr>
            <b/>
            <sz val="9"/>
            <color indexed="81"/>
            <rFont val="Tahoma"/>
            <family val="2"/>
          </rPr>
          <t>Andy Gleadall:</t>
        </r>
        <r>
          <rPr>
            <sz val="9"/>
            <color indexed="81"/>
            <rFont val="Tahoma"/>
            <family val="2"/>
          </rPr>
          <t xml:space="preserve">
Position af the nozzle at the end of the StartGCODE - EXCLUDING THE Zoffset!</t>
        </r>
      </text>
    </comment>
    <comment ref="S23" authorId="0" shapeId="0" xr:uid="{A995710B-FF9A-44A0-AE91-36EB878983CF}">
      <text>
        <r>
          <rPr>
            <b/>
            <sz val="9"/>
            <color indexed="81"/>
            <rFont val="Tahoma"/>
            <family val="2"/>
          </rPr>
          <t>Andy Gleadall:</t>
        </r>
        <r>
          <rPr>
            <sz val="9"/>
            <color indexed="81"/>
            <rFont val="Tahoma"/>
            <family val="2"/>
          </rPr>
          <t xml:space="preserve">
This value is only used if it is manually linked to the start GCODE.</t>
        </r>
      </text>
    </comment>
    <comment ref="S24" authorId="0" shapeId="0" xr:uid="{9145D555-BA05-4319-BA83-B4BF8E6965A9}">
      <text>
        <r>
          <rPr>
            <b/>
            <sz val="9"/>
            <color indexed="81"/>
            <rFont val="Tahoma"/>
            <family val="2"/>
          </rPr>
          <t>Andy Gleadall:</t>
        </r>
        <r>
          <rPr>
            <sz val="9"/>
            <color indexed="81"/>
            <rFont val="Tahoma"/>
            <family val="2"/>
          </rPr>
          <t xml:space="preserve">
Leave as "no" unless you've watched the relevant tutorial video</t>
        </r>
      </text>
    </comment>
    <comment ref="S25" authorId="0" shapeId="0" xr:uid="{DF27BABA-C7A9-4A7C-BA81-FB01CF724088}">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8" authorId="0" shapeId="0" xr:uid="{16480E68-195A-4311-A9C9-8E31FC743627}">
      <text>
        <r>
          <rPr>
            <b/>
            <sz val="9"/>
            <color indexed="81"/>
            <rFont val="Tahoma"/>
            <family val="2"/>
          </rPr>
          <t>Andy Gleadall:</t>
        </r>
        <r>
          <rPr>
            <sz val="9"/>
            <color indexed="81"/>
            <rFont val="Tahoma"/>
            <family val="2"/>
          </rPr>
          <t xml:space="preserve">
Unretraction occurs at the end of the non-extruding travel movement</t>
        </r>
      </text>
    </comment>
    <comment ref="S29" authorId="0" shapeId="0" xr:uid="{5150BE3E-60E9-44AA-800A-82CC3D732EE2}">
      <text>
        <r>
          <rPr>
            <b/>
            <sz val="9"/>
            <color indexed="81"/>
            <rFont val="Tahoma"/>
            <family val="2"/>
          </rPr>
          <t>Andy Gleadall:</t>
        </r>
        <r>
          <rPr>
            <sz val="9"/>
            <color indexed="81"/>
            <rFont val="Tahoma"/>
            <family val="2"/>
          </rPr>
          <t xml:space="preserve">
Unretraction occurs at the end of the non-extruding travel movement</t>
        </r>
      </text>
    </comment>
    <comment ref="S30" authorId="0" shapeId="0" xr:uid="{9FDE7C68-573B-4015-AE31-CA4980921F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33" authorId="0" shapeId="0" xr:uid="{2B205D63-286D-4DAE-8D5B-A390BE424D08}">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33" authorId="0" shapeId="0" xr:uid="{BEB4854F-EEE2-4AF7-A7FB-77B3E6B71F8B}">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33" authorId="0" shapeId="0" xr:uid="{66A0878A-8577-4D81-A542-80563ABEA626}">
      <text>
        <r>
          <rPr>
            <b/>
            <sz val="9"/>
            <color indexed="81"/>
            <rFont val="Tahoma"/>
            <family val="2"/>
          </rPr>
          <t>Andy Gleadall:</t>
        </r>
        <r>
          <rPr>
            <sz val="9"/>
            <color indexed="81"/>
            <rFont val="Tahoma"/>
            <family val="2"/>
          </rPr>
          <t xml:space="preserve">
Not used, but good practice!</t>
        </r>
      </text>
    </comment>
    <comment ref="A53" authorId="0" shapeId="0" xr:uid="{02ABA2BD-4DBA-4A65-BF76-08DA30E47130}">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53" authorId="0" shapeId="0" xr:uid="{7B37673F-3971-4896-9950-6A9C9F7A51CC}">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56" authorId="0" shapeId="0" xr:uid="{6DCBE3E4-F06E-450D-864D-73136596774B}">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57" authorId="0" shapeId="0" xr:uid="{F5BBFA5D-E266-4E37-9649-4C4A8D228190}">
      <text>
        <r>
          <rPr>
            <b/>
            <sz val="9"/>
            <color indexed="81"/>
            <rFont val="Tahoma"/>
            <family val="2"/>
          </rPr>
          <t>Andy Gleadall:</t>
        </r>
        <r>
          <rPr>
            <sz val="9"/>
            <color indexed="81"/>
            <rFont val="Tahoma"/>
            <family val="2"/>
          </rPr>
          <t xml:space="preserve">
Only applied to GCODE - not the data in the Printpath worksheet</t>
        </r>
      </text>
    </comment>
    <comment ref="S58" authorId="0" shapeId="0" xr:uid="{0B3BA7F2-DE7E-46A4-B8D2-CF4732FF0224}">
      <text>
        <r>
          <rPr>
            <b/>
            <sz val="9"/>
            <color indexed="81"/>
            <rFont val="Tahoma"/>
            <family val="2"/>
          </rPr>
          <t>Andy Gleadall:</t>
        </r>
        <r>
          <rPr>
            <sz val="9"/>
            <color indexed="81"/>
            <rFont val="Tahoma"/>
            <family val="2"/>
          </rPr>
          <t xml:space="preserve">
Only applied to GCODE - not the data in the Printpath worksheet</t>
        </r>
      </text>
    </comment>
    <comment ref="S59" authorId="0" shapeId="0" xr:uid="{A302BBC0-E94F-41F9-92E8-6EC65BA29677}">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60" authorId="0" shapeId="0" xr:uid="{DB301E4F-6708-41D6-938B-5A70ADC99DAB}">
      <text>
        <r>
          <rPr>
            <b/>
            <sz val="9"/>
            <color indexed="81"/>
            <rFont val="Tahoma"/>
            <family val="2"/>
          </rPr>
          <t>Andy Gleadall:</t>
        </r>
        <r>
          <rPr>
            <sz val="9"/>
            <color indexed="81"/>
            <rFont val="Tahoma"/>
            <family val="2"/>
          </rPr>
          <t xml:space="preserve">
Tool selected at the end of the startGCODE</t>
        </r>
      </text>
    </comment>
    <comment ref="S62" authorId="0" shapeId="0" xr:uid="{9F1EAE83-0292-4E9B-8E9A-B612BF3F2E3B}">
      <text>
        <r>
          <rPr>
            <b/>
            <sz val="9"/>
            <color indexed="81"/>
            <rFont val="Tahoma"/>
            <family val="2"/>
          </rPr>
          <t>Andy Gleadall:</t>
        </r>
        <r>
          <rPr>
            <sz val="9"/>
            <color indexed="81"/>
            <rFont val="Tahoma"/>
            <family val="2"/>
          </rPr>
          <t xml:space="preserve">
ONLY USED IF MANUALLY LINKED TO START GCODE</t>
        </r>
      </text>
    </comment>
    <comment ref="S63" authorId="0" shapeId="0" xr:uid="{9338C98F-1D05-449C-9218-8519BBFAE03C}">
      <text>
        <r>
          <rPr>
            <b/>
            <sz val="9"/>
            <color indexed="81"/>
            <rFont val="Tahoma"/>
            <family val="2"/>
          </rPr>
          <t>Andy Gleadall:</t>
        </r>
        <r>
          <rPr>
            <sz val="9"/>
            <color indexed="81"/>
            <rFont val="Tahoma"/>
            <family val="2"/>
          </rPr>
          <t xml:space="preserve">
Default speed when the nozzle is moving and extruding material</t>
        </r>
      </text>
    </comment>
    <comment ref="S64" authorId="0" shapeId="0" xr:uid="{285A8261-FD91-4E24-8B57-8BE345D71C44}">
      <text>
        <r>
          <rPr>
            <b/>
            <sz val="9"/>
            <color indexed="81"/>
            <rFont val="Tahoma"/>
            <family val="2"/>
          </rPr>
          <t>Andy Gleadall:</t>
        </r>
        <r>
          <rPr>
            <sz val="9"/>
            <color indexed="81"/>
            <rFont val="Tahoma"/>
            <family val="2"/>
          </rPr>
          <t xml:space="preserve">
Default speed when the nozzle is moving whilst not extruding</t>
        </r>
      </text>
    </comment>
    <comment ref="S65" authorId="0" shapeId="0" xr:uid="{A88DB9F9-4597-415B-B532-3A97CB69E819}">
      <text>
        <r>
          <rPr>
            <b/>
            <sz val="9"/>
            <color indexed="81"/>
            <rFont val="Tahoma"/>
            <family val="2"/>
          </rPr>
          <t>Andy Gleadall:</t>
        </r>
        <r>
          <rPr>
            <sz val="9"/>
            <color indexed="81"/>
            <rFont val="Tahoma"/>
            <family val="2"/>
          </rPr>
          <t xml:space="preserve">
This value is only used if it is manually linked to the start GCODE.</t>
        </r>
      </text>
    </comment>
    <comment ref="S66" authorId="0" shapeId="0" xr:uid="{65106BB4-4FE9-4ACF-A91A-FECE87680EA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67" authorId="0" shapeId="0" xr:uid="{1692A562-8D9E-4292-A854-761A685B59E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68" authorId="0" shapeId="0" xr:uid="{108B75E2-A4FA-44C3-8595-9FE8B132504C}">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69" authorId="0" shapeId="0" xr:uid="{2D312FAF-82E0-4ACA-9DE7-F173F6E0E5E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70" authorId="0" shapeId="0" xr:uid="{6031792F-C0B8-4DFA-AF33-B466B6BF0464}">
      <text>
        <r>
          <rPr>
            <b/>
            <sz val="9"/>
            <color indexed="81"/>
            <rFont val="Tahoma"/>
            <family val="2"/>
          </rPr>
          <t>Andy Gleadall:</t>
        </r>
        <r>
          <rPr>
            <sz val="9"/>
            <color indexed="81"/>
            <rFont val="Tahoma"/>
            <family val="2"/>
          </rPr>
          <t xml:space="preserve">
Position af the nozzle at the end of the StartGCODE</t>
        </r>
      </text>
    </comment>
    <comment ref="S71" authorId="0" shapeId="0" xr:uid="{291A8428-6074-4C27-9521-15FDD8DC1130}">
      <text>
        <r>
          <rPr>
            <b/>
            <sz val="9"/>
            <color indexed="81"/>
            <rFont val="Tahoma"/>
            <family val="2"/>
          </rPr>
          <t>Andy Gleadall:</t>
        </r>
        <r>
          <rPr>
            <sz val="9"/>
            <color indexed="81"/>
            <rFont val="Tahoma"/>
            <family val="2"/>
          </rPr>
          <t xml:space="preserve">
Position af the nozzle at the end of the StartGCODE</t>
        </r>
      </text>
    </comment>
    <comment ref="S72" authorId="0" shapeId="0" xr:uid="{DFEA7BA4-2A43-410B-9CBB-F85B7CE7BBAD}">
      <text>
        <r>
          <rPr>
            <b/>
            <sz val="9"/>
            <color indexed="81"/>
            <rFont val="Tahoma"/>
            <family val="2"/>
          </rPr>
          <t>Andy Gleadall:</t>
        </r>
        <r>
          <rPr>
            <sz val="9"/>
            <color indexed="81"/>
            <rFont val="Tahoma"/>
            <family val="2"/>
          </rPr>
          <t xml:space="preserve">
Position af the nozzle at the end of the StartGCODE - EXCLUDING THE Zoffset!</t>
        </r>
      </text>
    </comment>
    <comment ref="S73" authorId="0" shapeId="0" xr:uid="{5DE6F9EE-7BD0-411C-B470-168FDEF9D5B0}">
      <text>
        <r>
          <rPr>
            <b/>
            <sz val="9"/>
            <color indexed="81"/>
            <rFont val="Tahoma"/>
            <family val="2"/>
          </rPr>
          <t>Andy Gleadall:</t>
        </r>
        <r>
          <rPr>
            <sz val="9"/>
            <color indexed="81"/>
            <rFont val="Tahoma"/>
            <family val="2"/>
          </rPr>
          <t xml:space="preserve">
This value is only used if it is manually linked to the start GCODE.</t>
        </r>
      </text>
    </comment>
    <comment ref="S74" authorId="0" shapeId="0" xr:uid="{9968E8C0-D40C-415F-BF2B-DAF86C1A7BF7}">
      <text>
        <r>
          <rPr>
            <b/>
            <sz val="9"/>
            <color indexed="81"/>
            <rFont val="Tahoma"/>
            <family val="2"/>
          </rPr>
          <t>Andy Gleadall:</t>
        </r>
        <r>
          <rPr>
            <sz val="9"/>
            <color indexed="81"/>
            <rFont val="Tahoma"/>
            <family val="2"/>
          </rPr>
          <t xml:space="preserve">
Leave as "no" unless you've watched the relevant tutorial video</t>
        </r>
      </text>
    </comment>
    <comment ref="S75" authorId="0" shapeId="0" xr:uid="{9323EAB4-3B1A-4825-843F-D551CA083E6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78" authorId="0" shapeId="0" xr:uid="{4794E4A7-F514-4AD9-83FA-E3C999602235}">
      <text>
        <r>
          <rPr>
            <b/>
            <sz val="9"/>
            <color indexed="81"/>
            <rFont val="Tahoma"/>
            <family val="2"/>
          </rPr>
          <t>Andy Gleadall:</t>
        </r>
        <r>
          <rPr>
            <sz val="9"/>
            <color indexed="81"/>
            <rFont val="Tahoma"/>
            <family val="2"/>
          </rPr>
          <t xml:space="preserve">
Unretraction occurs at the end of the non-extruding travel movement</t>
        </r>
      </text>
    </comment>
    <comment ref="S79" authorId="0" shapeId="0" xr:uid="{D4D89466-94CF-488E-A4EA-AEA3BCCD4995}">
      <text>
        <r>
          <rPr>
            <b/>
            <sz val="9"/>
            <color indexed="81"/>
            <rFont val="Tahoma"/>
            <family val="2"/>
          </rPr>
          <t>Andy Gleadall:</t>
        </r>
        <r>
          <rPr>
            <sz val="9"/>
            <color indexed="81"/>
            <rFont val="Tahoma"/>
            <family val="2"/>
          </rPr>
          <t xml:space="preserve">
Unretraction occurs at the end of the non-extruding travel movement</t>
        </r>
      </text>
    </comment>
    <comment ref="S80" authorId="0" shapeId="0" xr:uid="{FC58C1C2-8794-45AF-B6F9-27B6794071BB}">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83" authorId="0" shapeId="0" xr:uid="{46093093-009B-4EE5-9DBD-8CD96325C44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83" authorId="0" shapeId="0" xr:uid="{9A7B5658-9FDB-4238-90ED-6F6AB925D8E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83" authorId="0" shapeId="0" xr:uid="{42F55575-3DA5-4244-B5E0-30FDAD2596D9}">
      <text>
        <r>
          <rPr>
            <b/>
            <sz val="9"/>
            <color indexed="81"/>
            <rFont val="Tahoma"/>
            <family val="2"/>
          </rPr>
          <t>Andy Gleadall:</t>
        </r>
        <r>
          <rPr>
            <sz val="9"/>
            <color indexed="81"/>
            <rFont val="Tahoma"/>
            <family val="2"/>
          </rPr>
          <t xml:space="preserve">
Not used, but good practice!</t>
        </r>
      </text>
    </comment>
    <comment ref="A89" authorId="0" shapeId="0" xr:uid="{A2121C3E-94CE-459D-8C65-0470BA2A5D41}">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89" authorId="0" shapeId="0" xr:uid="{DDD719C2-9608-435E-A683-D4D2DCB20388}">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92" authorId="0" shapeId="0" xr:uid="{90AB146F-E37A-4A56-9D50-54613532477F}">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93" authorId="0" shapeId="0" xr:uid="{3D665BC3-C53C-428C-A0F4-0A30D72BBD83}">
      <text>
        <r>
          <rPr>
            <b/>
            <sz val="9"/>
            <color indexed="81"/>
            <rFont val="Tahoma"/>
            <family val="2"/>
          </rPr>
          <t>Andy Gleadall:</t>
        </r>
        <r>
          <rPr>
            <sz val="9"/>
            <color indexed="81"/>
            <rFont val="Tahoma"/>
            <family val="2"/>
          </rPr>
          <t xml:space="preserve">
Only applied to GCODE - not the data in the Printpath worksheet</t>
        </r>
      </text>
    </comment>
    <comment ref="S94" authorId="0" shapeId="0" xr:uid="{88D1EA99-07C3-47F4-A977-344730B332AA}">
      <text>
        <r>
          <rPr>
            <b/>
            <sz val="9"/>
            <color indexed="81"/>
            <rFont val="Tahoma"/>
            <family val="2"/>
          </rPr>
          <t>Andy Gleadall:</t>
        </r>
        <r>
          <rPr>
            <sz val="9"/>
            <color indexed="81"/>
            <rFont val="Tahoma"/>
            <family val="2"/>
          </rPr>
          <t xml:space="preserve">
Only applied to GCODE - not the data in the Printpath worksheet</t>
        </r>
      </text>
    </comment>
    <comment ref="S95" authorId="0" shapeId="0" xr:uid="{BF843AFD-39EA-4367-B58E-76A86B8B6503}">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96" authorId="0" shapeId="0" xr:uid="{75191BCE-4D58-4A66-90C0-CF7DC30AD64C}">
      <text>
        <r>
          <rPr>
            <b/>
            <sz val="9"/>
            <color indexed="81"/>
            <rFont val="Tahoma"/>
            <family val="2"/>
          </rPr>
          <t>Andy Gleadall:</t>
        </r>
        <r>
          <rPr>
            <sz val="9"/>
            <color indexed="81"/>
            <rFont val="Tahoma"/>
            <family val="2"/>
          </rPr>
          <t xml:space="preserve">
Tool selected at the end of the startGCODE</t>
        </r>
      </text>
    </comment>
    <comment ref="S98" authorId="0" shapeId="0" xr:uid="{AE4DBCC2-7211-498D-8223-0599B0EF093B}">
      <text>
        <r>
          <rPr>
            <b/>
            <sz val="9"/>
            <color indexed="81"/>
            <rFont val="Tahoma"/>
            <family val="2"/>
          </rPr>
          <t>Andy Gleadall:</t>
        </r>
        <r>
          <rPr>
            <sz val="9"/>
            <color indexed="81"/>
            <rFont val="Tahoma"/>
            <family val="2"/>
          </rPr>
          <t xml:space="preserve">
ONLY USED IF MANUALLY LINKED TO START GCODE</t>
        </r>
      </text>
    </comment>
    <comment ref="S99" authorId="0" shapeId="0" xr:uid="{E832E8DB-E438-409E-91DE-F994F6AC8F63}">
      <text>
        <r>
          <rPr>
            <b/>
            <sz val="9"/>
            <color indexed="81"/>
            <rFont val="Tahoma"/>
            <family val="2"/>
          </rPr>
          <t>Andy Gleadall:</t>
        </r>
        <r>
          <rPr>
            <sz val="9"/>
            <color indexed="81"/>
            <rFont val="Tahoma"/>
            <family val="2"/>
          </rPr>
          <t xml:space="preserve">
Default speed when the nozzle is moving and extruding material</t>
        </r>
      </text>
    </comment>
    <comment ref="S100" authorId="0" shapeId="0" xr:uid="{44FB3F04-2C02-414F-8825-14678DD8CC8F}">
      <text>
        <r>
          <rPr>
            <b/>
            <sz val="9"/>
            <color indexed="81"/>
            <rFont val="Tahoma"/>
            <family val="2"/>
          </rPr>
          <t>Andy Gleadall:</t>
        </r>
        <r>
          <rPr>
            <sz val="9"/>
            <color indexed="81"/>
            <rFont val="Tahoma"/>
            <family val="2"/>
          </rPr>
          <t xml:space="preserve">
Default speed when the nozzle is moving whilst not extruding</t>
        </r>
      </text>
    </comment>
    <comment ref="S101" authorId="0" shapeId="0" xr:uid="{E1DA48DC-67C5-482F-BFBF-7E2A79536E37}">
      <text>
        <r>
          <rPr>
            <b/>
            <sz val="9"/>
            <color indexed="81"/>
            <rFont val="Tahoma"/>
            <family val="2"/>
          </rPr>
          <t>Andy Gleadall:</t>
        </r>
        <r>
          <rPr>
            <sz val="9"/>
            <color indexed="81"/>
            <rFont val="Tahoma"/>
            <family val="2"/>
          </rPr>
          <t xml:space="preserve">
This value is only used if it is manually linked to the start GCODE.</t>
        </r>
      </text>
    </comment>
    <comment ref="S102" authorId="0" shapeId="0" xr:uid="{8872958C-77AA-49C0-9403-D618C0B8FE9D}">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03" authorId="0" shapeId="0" xr:uid="{B43A2EBD-FA13-48F7-A7B7-0B1846FBCA2A}">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04" authorId="0" shapeId="0" xr:uid="{A0A13C6E-9956-4F6B-89A2-7CE66707B8D4}">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5" authorId="0" shapeId="0" xr:uid="{877B205B-FE6E-46BE-81B8-1EE0C607F152}">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06" authorId="0" shapeId="0" xr:uid="{745789D3-5518-4BB4-B8A6-48DF98E00A19}">
      <text>
        <r>
          <rPr>
            <b/>
            <sz val="9"/>
            <color indexed="81"/>
            <rFont val="Tahoma"/>
            <family val="2"/>
          </rPr>
          <t>Andy Gleadall:</t>
        </r>
        <r>
          <rPr>
            <sz val="9"/>
            <color indexed="81"/>
            <rFont val="Tahoma"/>
            <family val="2"/>
          </rPr>
          <t xml:space="preserve">
Position af the nozzle at the end of the StartGCODE</t>
        </r>
      </text>
    </comment>
    <comment ref="S107" authorId="0" shapeId="0" xr:uid="{5983FCFD-86BC-4294-A472-DAD5C10B81DE}">
      <text>
        <r>
          <rPr>
            <b/>
            <sz val="9"/>
            <color indexed="81"/>
            <rFont val="Tahoma"/>
            <family val="2"/>
          </rPr>
          <t>Andy Gleadall:</t>
        </r>
        <r>
          <rPr>
            <sz val="9"/>
            <color indexed="81"/>
            <rFont val="Tahoma"/>
            <family val="2"/>
          </rPr>
          <t xml:space="preserve">
Position af the nozzle at the end of the StartGCODE</t>
        </r>
      </text>
    </comment>
    <comment ref="S108" authorId="0" shapeId="0" xr:uid="{E5967E00-97F4-41FE-B1A5-FE75A1FA3B96}">
      <text>
        <r>
          <rPr>
            <b/>
            <sz val="9"/>
            <color indexed="81"/>
            <rFont val="Tahoma"/>
            <family val="2"/>
          </rPr>
          <t>Andy Gleadall:</t>
        </r>
        <r>
          <rPr>
            <sz val="9"/>
            <color indexed="81"/>
            <rFont val="Tahoma"/>
            <family val="2"/>
          </rPr>
          <t xml:space="preserve">
Position af the nozzle at the end of the StartGCODE - EXCLUDING THE Zoffset!</t>
        </r>
      </text>
    </comment>
    <comment ref="S109" authorId="0" shapeId="0" xr:uid="{69769B2D-F350-45D2-939B-D493BBF57A48}">
      <text>
        <r>
          <rPr>
            <b/>
            <sz val="9"/>
            <color indexed="81"/>
            <rFont val="Tahoma"/>
            <family val="2"/>
          </rPr>
          <t>Andy Gleadall:</t>
        </r>
        <r>
          <rPr>
            <sz val="9"/>
            <color indexed="81"/>
            <rFont val="Tahoma"/>
            <family val="2"/>
          </rPr>
          <t xml:space="preserve">
This value is only used if it is manually linked to the start GCODE.</t>
        </r>
      </text>
    </comment>
    <comment ref="S110" authorId="0" shapeId="0" xr:uid="{F0BA3832-0006-4DF7-B0BD-47E2068FD7FA}">
      <text>
        <r>
          <rPr>
            <b/>
            <sz val="9"/>
            <color indexed="81"/>
            <rFont val="Tahoma"/>
            <family val="2"/>
          </rPr>
          <t>Andy Gleadall:</t>
        </r>
        <r>
          <rPr>
            <sz val="9"/>
            <color indexed="81"/>
            <rFont val="Tahoma"/>
            <family val="2"/>
          </rPr>
          <t xml:space="preserve">
Leave as "no" unless you've watched the relevant tutorial video</t>
        </r>
      </text>
    </comment>
    <comment ref="S111" authorId="0" shapeId="0" xr:uid="{F7D104E8-BA2D-4B70-B5B7-E5264DFD17E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14" authorId="0" shapeId="0" xr:uid="{6DF0A587-2540-401F-ABB6-669B9310747F}">
      <text>
        <r>
          <rPr>
            <b/>
            <sz val="9"/>
            <color indexed="81"/>
            <rFont val="Tahoma"/>
            <family val="2"/>
          </rPr>
          <t>Andy Gleadall:</t>
        </r>
        <r>
          <rPr>
            <sz val="9"/>
            <color indexed="81"/>
            <rFont val="Tahoma"/>
            <family val="2"/>
          </rPr>
          <t xml:space="preserve">
Unretraction occurs at the end of the non-extruding travel movement</t>
        </r>
      </text>
    </comment>
    <comment ref="S115" authorId="0" shapeId="0" xr:uid="{A7FF1344-D557-4739-8E64-753ACB5AB96E}">
      <text>
        <r>
          <rPr>
            <b/>
            <sz val="9"/>
            <color indexed="81"/>
            <rFont val="Tahoma"/>
            <family val="2"/>
          </rPr>
          <t>Andy Gleadall:</t>
        </r>
        <r>
          <rPr>
            <sz val="9"/>
            <color indexed="81"/>
            <rFont val="Tahoma"/>
            <family val="2"/>
          </rPr>
          <t xml:space="preserve">
Unretraction occurs at the end of the non-extruding travel movement</t>
        </r>
      </text>
    </comment>
    <comment ref="S116" authorId="0" shapeId="0" xr:uid="{7FC66CEE-927F-4F32-A958-567C5ADC7C9C}">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19" authorId="0" shapeId="0" xr:uid="{1C448580-4ED9-4F8C-B8E7-5188ECFB1854}">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19" authorId="0" shapeId="0" xr:uid="{B6604275-96F3-49B5-B900-BD437AC8205D}">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19" authorId="0" shapeId="0" xr:uid="{1986B59A-0F6B-404C-8DAB-44ACCD2EEE0D}">
      <text>
        <r>
          <rPr>
            <b/>
            <sz val="9"/>
            <color indexed="81"/>
            <rFont val="Tahoma"/>
            <family val="2"/>
          </rPr>
          <t>Andy Gleadall:</t>
        </r>
        <r>
          <rPr>
            <sz val="9"/>
            <color indexed="81"/>
            <rFont val="Tahoma"/>
            <family val="2"/>
          </rPr>
          <t xml:space="preserve">
Not used, but good practice!</t>
        </r>
      </text>
    </comment>
    <comment ref="A125" authorId="0" shapeId="0" xr:uid="{E41AB95E-D17B-482F-96C4-F7E4CA86660F}">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25" authorId="0" shapeId="0" xr:uid="{2DF1C021-1E2A-4D3A-A003-FBF9D5E67187}">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28" authorId="0" shapeId="0" xr:uid="{EC69C768-B83D-4E1B-A048-C77EC2F5E445}">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29" authorId="0" shapeId="0" xr:uid="{53CB606D-A8D3-4C25-AA73-A8324B558553}">
      <text>
        <r>
          <rPr>
            <b/>
            <sz val="9"/>
            <color indexed="81"/>
            <rFont val="Tahoma"/>
            <family val="2"/>
          </rPr>
          <t>Andy Gleadall:</t>
        </r>
        <r>
          <rPr>
            <sz val="9"/>
            <color indexed="81"/>
            <rFont val="Tahoma"/>
            <family val="2"/>
          </rPr>
          <t xml:space="preserve">
Only applied to GCODE - not the data in the Printpath worksheet</t>
        </r>
      </text>
    </comment>
    <comment ref="S130" authorId="0" shapeId="0" xr:uid="{B93D3F85-12CF-4A5F-B813-A8B9C14A3637}">
      <text>
        <r>
          <rPr>
            <b/>
            <sz val="9"/>
            <color indexed="81"/>
            <rFont val="Tahoma"/>
            <family val="2"/>
          </rPr>
          <t>Andy Gleadall:</t>
        </r>
        <r>
          <rPr>
            <sz val="9"/>
            <color indexed="81"/>
            <rFont val="Tahoma"/>
            <family val="2"/>
          </rPr>
          <t xml:space="preserve">
Only applied to GCODE - not the data in the Printpath worksheet</t>
        </r>
      </text>
    </comment>
    <comment ref="S131" authorId="0" shapeId="0" xr:uid="{2085292D-33F0-4FFF-A039-F4F8C81A9835}">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32" authorId="0" shapeId="0" xr:uid="{1821316C-3933-487B-A703-2D0995D1D2B4}">
      <text>
        <r>
          <rPr>
            <b/>
            <sz val="9"/>
            <color indexed="81"/>
            <rFont val="Tahoma"/>
            <family val="2"/>
          </rPr>
          <t>Andy Gleadall:</t>
        </r>
        <r>
          <rPr>
            <sz val="9"/>
            <color indexed="81"/>
            <rFont val="Tahoma"/>
            <family val="2"/>
          </rPr>
          <t xml:space="preserve">
Tool selected at the end of the startGCODE</t>
        </r>
      </text>
    </comment>
    <comment ref="S134" authorId="0" shapeId="0" xr:uid="{77101481-B071-44F0-9CFA-BAAB81F7FB17}">
      <text>
        <r>
          <rPr>
            <b/>
            <sz val="9"/>
            <color indexed="81"/>
            <rFont val="Tahoma"/>
            <family val="2"/>
          </rPr>
          <t>Andy Gleadall:</t>
        </r>
        <r>
          <rPr>
            <sz val="9"/>
            <color indexed="81"/>
            <rFont val="Tahoma"/>
            <family val="2"/>
          </rPr>
          <t xml:space="preserve">
ONLY USED IF MANUALLY LINKED TO START GCODE</t>
        </r>
      </text>
    </comment>
    <comment ref="S135" authorId="0" shapeId="0" xr:uid="{55ADB2CE-A4F1-40C5-9CFE-C6E2A58C6A52}">
      <text>
        <r>
          <rPr>
            <b/>
            <sz val="9"/>
            <color indexed="81"/>
            <rFont val="Tahoma"/>
            <family val="2"/>
          </rPr>
          <t>Andy Gleadall:</t>
        </r>
        <r>
          <rPr>
            <sz val="9"/>
            <color indexed="81"/>
            <rFont val="Tahoma"/>
            <family val="2"/>
          </rPr>
          <t xml:space="preserve">
Default speed when the nozzle is moving and extruding material</t>
        </r>
      </text>
    </comment>
    <comment ref="S136" authorId="0" shapeId="0" xr:uid="{86D2EEC1-0B84-463D-AB76-FFFE57316E6C}">
      <text>
        <r>
          <rPr>
            <b/>
            <sz val="9"/>
            <color indexed="81"/>
            <rFont val="Tahoma"/>
            <family val="2"/>
          </rPr>
          <t>Andy Gleadall:</t>
        </r>
        <r>
          <rPr>
            <sz val="9"/>
            <color indexed="81"/>
            <rFont val="Tahoma"/>
            <family val="2"/>
          </rPr>
          <t xml:space="preserve">
Default speed when the nozzle is moving whilst not extruding</t>
        </r>
      </text>
    </comment>
    <comment ref="S137" authorId="0" shapeId="0" xr:uid="{1CCE33A2-0177-478F-AB4F-633918E16C25}">
      <text>
        <r>
          <rPr>
            <b/>
            <sz val="9"/>
            <color indexed="81"/>
            <rFont val="Tahoma"/>
            <family val="2"/>
          </rPr>
          <t>Andy Gleadall:</t>
        </r>
        <r>
          <rPr>
            <sz val="9"/>
            <color indexed="81"/>
            <rFont val="Tahoma"/>
            <family val="2"/>
          </rPr>
          <t xml:space="preserve">
This value is only used if it is manually linked to the start GCODE.</t>
        </r>
      </text>
    </comment>
    <comment ref="S138" authorId="0" shapeId="0" xr:uid="{5C783C13-5B47-47E8-9446-001CD60B5EB6}">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39" authorId="0" shapeId="0" xr:uid="{5A3123B5-78A3-4774-BA7E-508B817DC2F2}">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40" authorId="0" shapeId="0" xr:uid="{9B1FFE56-C984-4526-A069-6949218B5EF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1" authorId="0" shapeId="0" xr:uid="{AD46D4B3-9184-4E6D-9934-7892BFAAFA95}">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42" authorId="0" shapeId="0" xr:uid="{9FDCB618-9F7A-49C7-BF65-E36638418AE1}">
      <text>
        <r>
          <rPr>
            <b/>
            <sz val="9"/>
            <color indexed="81"/>
            <rFont val="Tahoma"/>
            <family val="2"/>
          </rPr>
          <t>Andy Gleadall:</t>
        </r>
        <r>
          <rPr>
            <sz val="9"/>
            <color indexed="81"/>
            <rFont val="Tahoma"/>
            <family val="2"/>
          </rPr>
          <t xml:space="preserve">
Position af the nozzle at the end of the StartGCODE</t>
        </r>
      </text>
    </comment>
    <comment ref="S143" authorId="0" shapeId="0" xr:uid="{DCCF8B9E-F19C-4DAA-8B29-1AD9A02A6BD3}">
      <text>
        <r>
          <rPr>
            <b/>
            <sz val="9"/>
            <color indexed="81"/>
            <rFont val="Tahoma"/>
            <family val="2"/>
          </rPr>
          <t>Andy Gleadall:</t>
        </r>
        <r>
          <rPr>
            <sz val="9"/>
            <color indexed="81"/>
            <rFont val="Tahoma"/>
            <family val="2"/>
          </rPr>
          <t xml:space="preserve">
Position af the nozzle at the end of the StartGCODE</t>
        </r>
      </text>
    </comment>
    <comment ref="S144" authorId="0" shapeId="0" xr:uid="{95FA85CF-4D82-415F-B07C-B6B7AD4B0B91}">
      <text>
        <r>
          <rPr>
            <b/>
            <sz val="9"/>
            <color indexed="81"/>
            <rFont val="Tahoma"/>
            <family val="2"/>
          </rPr>
          <t>Andy Gleadall:</t>
        </r>
        <r>
          <rPr>
            <sz val="9"/>
            <color indexed="81"/>
            <rFont val="Tahoma"/>
            <family val="2"/>
          </rPr>
          <t xml:space="preserve">
Position af the nozzle at the end of the StartGCODE - EXCLUDING THE Zoffset!</t>
        </r>
      </text>
    </comment>
    <comment ref="S145" authorId="0" shapeId="0" xr:uid="{1A13A6A7-0BDA-42BD-ACB6-69E7F5F97DF8}">
      <text>
        <r>
          <rPr>
            <b/>
            <sz val="9"/>
            <color indexed="81"/>
            <rFont val="Tahoma"/>
            <family val="2"/>
          </rPr>
          <t>Andy Gleadall:</t>
        </r>
        <r>
          <rPr>
            <sz val="9"/>
            <color indexed="81"/>
            <rFont val="Tahoma"/>
            <family val="2"/>
          </rPr>
          <t xml:space="preserve">
This value is only used if it is manually linked to the start GCODE.</t>
        </r>
      </text>
    </comment>
    <comment ref="S146" authorId="0" shapeId="0" xr:uid="{4271A1CB-0685-4F0F-A655-60E401958895}">
      <text>
        <r>
          <rPr>
            <b/>
            <sz val="9"/>
            <color indexed="81"/>
            <rFont val="Tahoma"/>
            <family val="2"/>
          </rPr>
          <t>Andy Gleadall:</t>
        </r>
        <r>
          <rPr>
            <sz val="9"/>
            <color indexed="81"/>
            <rFont val="Tahoma"/>
            <family val="2"/>
          </rPr>
          <t xml:space="preserve">
Leave as "no" unless you've watched the relevant tutorial video</t>
        </r>
      </text>
    </comment>
    <comment ref="S147" authorId="0" shapeId="0" xr:uid="{B7B14A59-4810-444D-9607-3FDFE4956A1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50" authorId="0" shapeId="0" xr:uid="{DAE45C54-852C-4EC5-BD1B-32DF9E5835F5}">
      <text>
        <r>
          <rPr>
            <b/>
            <sz val="9"/>
            <color indexed="81"/>
            <rFont val="Tahoma"/>
            <family val="2"/>
          </rPr>
          <t>Andy Gleadall:</t>
        </r>
        <r>
          <rPr>
            <sz val="9"/>
            <color indexed="81"/>
            <rFont val="Tahoma"/>
            <family val="2"/>
          </rPr>
          <t xml:space="preserve">
Unretraction occurs at the end of the non-extruding travel movement</t>
        </r>
      </text>
    </comment>
    <comment ref="S151" authorId="0" shapeId="0" xr:uid="{A06444B5-1F03-4E81-9985-D383E4F40C63}">
      <text>
        <r>
          <rPr>
            <b/>
            <sz val="9"/>
            <color indexed="81"/>
            <rFont val="Tahoma"/>
            <family val="2"/>
          </rPr>
          <t>Andy Gleadall:</t>
        </r>
        <r>
          <rPr>
            <sz val="9"/>
            <color indexed="81"/>
            <rFont val="Tahoma"/>
            <family val="2"/>
          </rPr>
          <t xml:space="preserve">
Unretraction occurs at the end of the non-extruding travel movement</t>
        </r>
      </text>
    </comment>
    <comment ref="S152" authorId="0" shapeId="0" xr:uid="{2EFB5AF0-538C-4987-9504-ADFF0DF9B9D2}">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55" authorId="0" shapeId="0" xr:uid="{67C3F427-A2CB-4B7E-B92B-8B12748BA2BE}">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55" authorId="0" shapeId="0" xr:uid="{886EF685-756D-4A89-86F6-8ADFBA065233}">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55" authorId="0" shapeId="0" xr:uid="{D37B7A86-3D06-40A9-BAAE-5DF76D2198DC}">
      <text>
        <r>
          <rPr>
            <b/>
            <sz val="9"/>
            <color indexed="81"/>
            <rFont val="Tahoma"/>
            <family val="2"/>
          </rPr>
          <t>Andy Gleadall:</t>
        </r>
        <r>
          <rPr>
            <sz val="9"/>
            <color indexed="81"/>
            <rFont val="Tahoma"/>
            <family val="2"/>
          </rPr>
          <t xml:space="preserve">
Not used, but good practice!</t>
        </r>
      </text>
    </comment>
    <comment ref="A160" authorId="0" shapeId="0" xr:uid="{DBFFF362-E79E-421D-9092-05BF964F7894}">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60" authorId="0" shapeId="0" xr:uid="{C23E2E1C-4C3B-4678-B106-64F41CBE1FF3}">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63" authorId="0" shapeId="0" xr:uid="{83F3DAC3-D1F6-4937-96BC-328709C9F9AA}">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64" authorId="0" shapeId="0" xr:uid="{D0A28C77-E7B5-4931-BB69-DD52828E1122}">
      <text>
        <r>
          <rPr>
            <b/>
            <sz val="9"/>
            <color indexed="81"/>
            <rFont val="Tahoma"/>
            <family val="2"/>
          </rPr>
          <t>Andy Gleadall:</t>
        </r>
        <r>
          <rPr>
            <sz val="9"/>
            <color indexed="81"/>
            <rFont val="Tahoma"/>
            <family val="2"/>
          </rPr>
          <t xml:space="preserve">
Only applied to GCODE - not the data in the Printpath worksheet</t>
        </r>
      </text>
    </comment>
    <comment ref="S165" authorId="0" shapeId="0" xr:uid="{0A71974C-F336-47E1-AC92-88D663D5723E}">
      <text>
        <r>
          <rPr>
            <b/>
            <sz val="9"/>
            <color indexed="81"/>
            <rFont val="Tahoma"/>
            <family val="2"/>
          </rPr>
          <t>Andy Gleadall:</t>
        </r>
        <r>
          <rPr>
            <sz val="9"/>
            <color indexed="81"/>
            <rFont val="Tahoma"/>
            <family val="2"/>
          </rPr>
          <t xml:space="preserve">
Only applied to GCODE - not the data in the Printpath worksheet</t>
        </r>
      </text>
    </comment>
    <comment ref="S166" authorId="0" shapeId="0" xr:uid="{3B695393-C2D3-4D43-BDBA-60E8CC67622F}">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167" authorId="0" shapeId="0" xr:uid="{81FE751A-E2C7-42EA-B0AC-8EE913CE1CBD}">
      <text>
        <r>
          <rPr>
            <b/>
            <sz val="9"/>
            <color indexed="81"/>
            <rFont val="Tahoma"/>
            <family val="2"/>
          </rPr>
          <t>Andy Gleadall:</t>
        </r>
        <r>
          <rPr>
            <sz val="9"/>
            <color indexed="81"/>
            <rFont val="Tahoma"/>
            <family val="2"/>
          </rPr>
          <t xml:space="preserve">
Tool selected at the end of the startGCODE</t>
        </r>
      </text>
    </comment>
    <comment ref="S169" authorId="0" shapeId="0" xr:uid="{A2D2F0D6-3631-4DCD-85AA-D3D4758E089C}">
      <text>
        <r>
          <rPr>
            <b/>
            <sz val="9"/>
            <color indexed="81"/>
            <rFont val="Tahoma"/>
            <family val="2"/>
          </rPr>
          <t>Andy Gleadall:</t>
        </r>
        <r>
          <rPr>
            <sz val="9"/>
            <color indexed="81"/>
            <rFont val="Tahoma"/>
            <family val="2"/>
          </rPr>
          <t xml:space="preserve">
ONLY USED IF MANUALLY LINKED TO START GCODE</t>
        </r>
      </text>
    </comment>
    <comment ref="S170" authorId="0" shapeId="0" xr:uid="{213656DE-3BCF-435E-878F-1D81ACA4678F}">
      <text>
        <r>
          <rPr>
            <b/>
            <sz val="9"/>
            <color indexed="81"/>
            <rFont val="Tahoma"/>
            <family val="2"/>
          </rPr>
          <t>Andy Gleadall:</t>
        </r>
        <r>
          <rPr>
            <sz val="9"/>
            <color indexed="81"/>
            <rFont val="Tahoma"/>
            <family val="2"/>
          </rPr>
          <t xml:space="preserve">
Default speed when the nozzle is moving and extruding material</t>
        </r>
      </text>
    </comment>
    <comment ref="S171" authorId="0" shapeId="0" xr:uid="{AD7FD770-BDE2-4196-BA63-5458A5929419}">
      <text>
        <r>
          <rPr>
            <b/>
            <sz val="9"/>
            <color indexed="81"/>
            <rFont val="Tahoma"/>
            <family val="2"/>
          </rPr>
          <t>Andy Gleadall:</t>
        </r>
        <r>
          <rPr>
            <sz val="9"/>
            <color indexed="81"/>
            <rFont val="Tahoma"/>
            <family val="2"/>
          </rPr>
          <t xml:space="preserve">
Default speed when the nozzle is moving whilst not extruding</t>
        </r>
      </text>
    </comment>
    <comment ref="S172" authorId="0" shapeId="0" xr:uid="{21EA26D5-BAC4-49F2-BC42-E7857E49AB5A}">
      <text>
        <r>
          <rPr>
            <b/>
            <sz val="9"/>
            <color indexed="81"/>
            <rFont val="Tahoma"/>
            <family val="2"/>
          </rPr>
          <t>Andy Gleadall:</t>
        </r>
        <r>
          <rPr>
            <sz val="9"/>
            <color indexed="81"/>
            <rFont val="Tahoma"/>
            <family val="2"/>
          </rPr>
          <t xml:space="preserve">
This value is only used if it is manually linked to the start GCODE.</t>
        </r>
      </text>
    </comment>
    <comment ref="S173" authorId="0" shapeId="0" xr:uid="{06BBAAED-ADE4-4F0F-A37F-A63152D7651B}">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174" authorId="0" shapeId="0" xr:uid="{F2D0E6DD-9427-4227-B0D8-98F2D5A201F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175" authorId="0" shapeId="0" xr:uid="{850D587F-094B-4B16-ABE4-1A0E043FC7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6" authorId="0" shapeId="0" xr:uid="{F294359A-670C-4974-A101-4F24C6290B6E}">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177" authorId="0" shapeId="0" xr:uid="{4BAE9513-EB3F-46BF-822E-D01232FCEAD4}">
      <text>
        <r>
          <rPr>
            <b/>
            <sz val="9"/>
            <color indexed="81"/>
            <rFont val="Tahoma"/>
            <family val="2"/>
          </rPr>
          <t>Andy Gleadall:</t>
        </r>
        <r>
          <rPr>
            <sz val="9"/>
            <color indexed="81"/>
            <rFont val="Tahoma"/>
            <family val="2"/>
          </rPr>
          <t xml:space="preserve">
Position af the nozzle at the end of the StartGCODE</t>
        </r>
      </text>
    </comment>
    <comment ref="S178" authorId="0" shapeId="0" xr:uid="{9D6A88F5-F5F5-4CDB-92F8-BA190B04C0C0}">
      <text>
        <r>
          <rPr>
            <b/>
            <sz val="9"/>
            <color indexed="81"/>
            <rFont val="Tahoma"/>
            <family val="2"/>
          </rPr>
          <t>Andy Gleadall:</t>
        </r>
        <r>
          <rPr>
            <sz val="9"/>
            <color indexed="81"/>
            <rFont val="Tahoma"/>
            <family val="2"/>
          </rPr>
          <t xml:space="preserve">
Position af the nozzle at the end of the StartGCODE</t>
        </r>
      </text>
    </comment>
    <comment ref="S179" authorId="0" shapeId="0" xr:uid="{4638A9A8-BBA8-4E37-9308-CEDDECF5EF33}">
      <text>
        <r>
          <rPr>
            <b/>
            <sz val="9"/>
            <color indexed="81"/>
            <rFont val="Tahoma"/>
            <family val="2"/>
          </rPr>
          <t>Andy Gleadall:</t>
        </r>
        <r>
          <rPr>
            <sz val="9"/>
            <color indexed="81"/>
            <rFont val="Tahoma"/>
            <family val="2"/>
          </rPr>
          <t xml:space="preserve">
Position af the nozzle at the end of the StartGCODE - EXCLUDING THE Zoffset!</t>
        </r>
      </text>
    </comment>
    <comment ref="S180" authorId="0" shapeId="0" xr:uid="{55607666-59AC-44D2-9FFE-E24E89EE4009}">
      <text>
        <r>
          <rPr>
            <b/>
            <sz val="9"/>
            <color indexed="81"/>
            <rFont val="Tahoma"/>
            <family val="2"/>
          </rPr>
          <t>Andy Gleadall:</t>
        </r>
        <r>
          <rPr>
            <sz val="9"/>
            <color indexed="81"/>
            <rFont val="Tahoma"/>
            <family val="2"/>
          </rPr>
          <t xml:space="preserve">
This value is only used if it is manually linked to the start GCODE.</t>
        </r>
      </text>
    </comment>
    <comment ref="S181" authorId="0" shapeId="0" xr:uid="{A288D471-F864-4674-BA8F-F15884BCD7C3}">
      <text>
        <r>
          <rPr>
            <b/>
            <sz val="9"/>
            <color indexed="81"/>
            <rFont val="Tahoma"/>
            <family val="2"/>
          </rPr>
          <t>Andy Gleadall:</t>
        </r>
        <r>
          <rPr>
            <sz val="9"/>
            <color indexed="81"/>
            <rFont val="Tahoma"/>
            <family val="2"/>
          </rPr>
          <t xml:space="preserve">
Leave as "no" unless you've watched the relevant tutorial video</t>
        </r>
      </text>
    </comment>
    <comment ref="S182" authorId="0" shapeId="0" xr:uid="{E62F068A-D928-4091-811D-11C390EC2940}">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185" authorId="0" shapeId="0" xr:uid="{871A29D2-B957-4E3F-A594-B03722A8055E}">
      <text>
        <r>
          <rPr>
            <b/>
            <sz val="9"/>
            <color indexed="81"/>
            <rFont val="Tahoma"/>
            <family val="2"/>
          </rPr>
          <t>Andy Gleadall:</t>
        </r>
        <r>
          <rPr>
            <sz val="9"/>
            <color indexed="81"/>
            <rFont val="Tahoma"/>
            <family val="2"/>
          </rPr>
          <t xml:space="preserve">
Unretraction occurs at the end of the non-extruding travel movement</t>
        </r>
      </text>
    </comment>
    <comment ref="S186" authorId="0" shapeId="0" xr:uid="{D3949405-B12C-4125-A2D5-1028AE012961}">
      <text>
        <r>
          <rPr>
            <b/>
            <sz val="9"/>
            <color indexed="81"/>
            <rFont val="Tahoma"/>
            <family val="2"/>
          </rPr>
          <t>Andy Gleadall:</t>
        </r>
        <r>
          <rPr>
            <sz val="9"/>
            <color indexed="81"/>
            <rFont val="Tahoma"/>
            <family val="2"/>
          </rPr>
          <t xml:space="preserve">
Unretraction occurs at the end of the non-extruding travel movement</t>
        </r>
      </text>
    </comment>
    <comment ref="S187" authorId="0" shapeId="0" xr:uid="{1EBF6DE1-F92E-463D-8AA0-A4482DC88DEA}">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190" authorId="0" shapeId="0" xr:uid="{CE85D233-C0EC-40D1-8A5B-045D630114DC}">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190" authorId="0" shapeId="0" xr:uid="{B701F253-9DDE-4D50-8823-684014AA846F}">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190" authorId="0" shapeId="0" xr:uid="{5E820ABE-481C-42E9-A1B2-F4C97ADE1535}">
      <text>
        <r>
          <rPr>
            <b/>
            <sz val="9"/>
            <color indexed="81"/>
            <rFont val="Tahoma"/>
            <family val="2"/>
          </rPr>
          <t>Andy Gleadall:</t>
        </r>
        <r>
          <rPr>
            <sz val="9"/>
            <color indexed="81"/>
            <rFont val="Tahoma"/>
            <family val="2"/>
          </rPr>
          <t xml:space="preserve">
Not used, but good practice!</t>
        </r>
      </text>
    </comment>
    <comment ref="A195" authorId="0" shapeId="0" xr:uid="{AABCF8B7-2A85-447F-9F08-2748CF4E2DAD}">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195" authorId="0" shapeId="0" xr:uid="{9FCE4FC0-6D9D-4D07-B089-5BED81D9A92B}">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198" authorId="0" shapeId="0" xr:uid="{BF627958-FEBE-486A-BEA0-8F50CB6CA5B3}">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199" authorId="0" shapeId="0" xr:uid="{3B9135F9-41F5-496B-9E3D-880566573CA5}">
      <text>
        <r>
          <rPr>
            <b/>
            <sz val="9"/>
            <color indexed="81"/>
            <rFont val="Tahoma"/>
            <family val="2"/>
          </rPr>
          <t>Andy Gleadall:</t>
        </r>
        <r>
          <rPr>
            <sz val="9"/>
            <color indexed="81"/>
            <rFont val="Tahoma"/>
            <family val="2"/>
          </rPr>
          <t xml:space="preserve">
Only applied to GCODE - not the data in the Printpath worksheet</t>
        </r>
      </text>
    </comment>
    <comment ref="S200" authorId="0" shapeId="0" xr:uid="{BFD7E56E-222A-4A88-B2EF-FD119AFE2F73}">
      <text>
        <r>
          <rPr>
            <b/>
            <sz val="9"/>
            <color indexed="81"/>
            <rFont val="Tahoma"/>
            <family val="2"/>
          </rPr>
          <t>Andy Gleadall:</t>
        </r>
        <r>
          <rPr>
            <sz val="9"/>
            <color indexed="81"/>
            <rFont val="Tahoma"/>
            <family val="2"/>
          </rPr>
          <t xml:space="preserve">
Only applied to GCODE - not the data in the Printpath worksheet</t>
        </r>
      </text>
    </comment>
    <comment ref="S201" authorId="0" shapeId="0" xr:uid="{37FFD893-6497-48D2-ADFA-AFA812979666}">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02" authorId="0" shapeId="0" xr:uid="{5122EDF2-DD50-4578-B213-2487CB18A8DA}">
      <text>
        <r>
          <rPr>
            <b/>
            <sz val="9"/>
            <color indexed="81"/>
            <rFont val="Tahoma"/>
            <family val="2"/>
          </rPr>
          <t>Andy Gleadall:</t>
        </r>
        <r>
          <rPr>
            <sz val="9"/>
            <color indexed="81"/>
            <rFont val="Tahoma"/>
            <family val="2"/>
          </rPr>
          <t xml:space="preserve">
Tool selected at the end of the startGCODE</t>
        </r>
      </text>
    </comment>
    <comment ref="S204" authorId="0" shapeId="0" xr:uid="{349DBC4B-6389-4E3B-9A3F-A5832FB34EF0}">
      <text>
        <r>
          <rPr>
            <b/>
            <sz val="9"/>
            <color indexed="81"/>
            <rFont val="Tahoma"/>
            <family val="2"/>
          </rPr>
          <t>Andy Gleadall:</t>
        </r>
        <r>
          <rPr>
            <sz val="9"/>
            <color indexed="81"/>
            <rFont val="Tahoma"/>
            <family val="2"/>
          </rPr>
          <t xml:space="preserve">
ONLY USED IF MANUALLY LINKED TO START GCODE</t>
        </r>
      </text>
    </comment>
    <comment ref="S205" authorId="0" shapeId="0" xr:uid="{DB1A4763-D358-44B3-B061-5BADA86B9271}">
      <text>
        <r>
          <rPr>
            <b/>
            <sz val="9"/>
            <color indexed="81"/>
            <rFont val="Tahoma"/>
            <family val="2"/>
          </rPr>
          <t>Andy Gleadall:</t>
        </r>
        <r>
          <rPr>
            <sz val="9"/>
            <color indexed="81"/>
            <rFont val="Tahoma"/>
            <family val="2"/>
          </rPr>
          <t xml:space="preserve">
Default speed when the nozzle is moving and extruding material</t>
        </r>
      </text>
    </comment>
    <comment ref="S206" authorId="0" shapeId="0" xr:uid="{72C71A99-3236-4930-BE9E-F45456F48FDD}">
      <text>
        <r>
          <rPr>
            <b/>
            <sz val="9"/>
            <color indexed="81"/>
            <rFont val="Tahoma"/>
            <family val="2"/>
          </rPr>
          <t>Andy Gleadall:</t>
        </r>
        <r>
          <rPr>
            <sz val="9"/>
            <color indexed="81"/>
            <rFont val="Tahoma"/>
            <family val="2"/>
          </rPr>
          <t xml:space="preserve">
Default speed when the nozzle is moving whilst not extruding</t>
        </r>
      </text>
    </comment>
    <comment ref="S207" authorId="0" shapeId="0" xr:uid="{5C2E292E-B6C1-4553-A2FD-5D7E9BB231DB}">
      <text>
        <r>
          <rPr>
            <b/>
            <sz val="9"/>
            <color indexed="81"/>
            <rFont val="Tahoma"/>
            <family val="2"/>
          </rPr>
          <t>Andy Gleadall:</t>
        </r>
        <r>
          <rPr>
            <sz val="9"/>
            <color indexed="81"/>
            <rFont val="Tahoma"/>
            <family val="2"/>
          </rPr>
          <t xml:space="preserve">
This value is only used if it is manually linked to the start GCODE.</t>
        </r>
      </text>
    </comment>
    <comment ref="S208" authorId="0" shapeId="0" xr:uid="{554D6862-BDCF-4B6E-AB0D-2B2209AAC5F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09" authorId="0" shapeId="0" xr:uid="{2610DEFF-1CE9-49E0-8DCF-EAC1D9650260}">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10" authorId="0" shapeId="0" xr:uid="{D5CD64E9-EEA5-4433-870F-DB48959D409B}">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1" authorId="0" shapeId="0" xr:uid="{805DECE4-0BFD-4401-B610-C2397B9C84BD}">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12" authorId="0" shapeId="0" xr:uid="{B6CDD683-817B-4377-95CE-9FAFBBF632FB}">
      <text>
        <r>
          <rPr>
            <b/>
            <sz val="9"/>
            <color indexed="81"/>
            <rFont val="Tahoma"/>
            <family val="2"/>
          </rPr>
          <t>Andy Gleadall:</t>
        </r>
        <r>
          <rPr>
            <sz val="9"/>
            <color indexed="81"/>
            <rFont val="Tahoma"/>
            <family val="2"/>
          </rPr>
          <t xml:space="preserve">
Position af the nozzle at the end of the StartGCODE</t>
        </r>
      </text>
    </comment>
    <comment ref="S213" authorId="0" shapeId="0" xr:uid="{3B5ED214-E877-46E0-A89C-387535FCF283}">
      <text>
        <r>
          <rPr>
            <b/>
            <sz val="9"/>
            <color indexed="81"/>
            <rFont val="Tahoma"/>
            <family val="2"/>
          </rPr>
          <t>Andy Gleadall:</t>
        </r>
        <r>
          <rPr>
            <sz val="9"/>
            <color indexed="81"/>
            <rFont val="Tahoma"/>
            <family val="2"/>
          </rPr>
          <t xml:space="preserve">
Position af the nozzle at the end of the StartGCODE</t>
        </r>
      </text>
    </comment>
    <comment ref="S214" authorId="0" shapeId="0" xr:uid="{FC349254-ED1A-48CE-83F1-7CB396365071}">
      <text>
        <r>
          <rPr>
            <b/>
            <sz val="9"/>
            <color indexed="81"/>
            <rFont val="Tahoma"/>
            <family val="2"/>
          </rPr>
          <t>Andy Gleadall:</t>
        </r>
        <r>
          <rPr>
            <sz val="9"/>
            <color indexed="81"/>
            <rFont val="Tahoma"/>
            <family val="2"/>
          </rPr>
          <t xml:space="preserve">
Position af the nozzle at the end of the StartGCODE - EXCLUDING THE Zoffset!</t>
        </r>
      </text>
    </comment>
    <comment ref="S215" authorId="0" shapeId="0" xr:uid="{14B8EF71-31D0-45FE-8593-60C948160723}">
      <text>
        <r>
          <rPr>
            <b/>
            <sz val="9"/>
            <color indexed="81"/>
            <rFont val="Tahoma"/>
            <family val="2"/>
          </rPr>
          <t>Andy Gleadall:</t>
        </r>
        <r>
          <rPr>
            <sz val="9"/>
            <color indexed="81"/>
            <rFont val="Tahoma"/>
            <family val="2"/>
          </rPr>
          <t xml:space="preserve">
This value is only used if it is manually linked to the start GCODE.</t>
        </r>
      </text>
    </comment>
    <comment ref="S216" authorId="0" shapeId="0" xr:uid="{CECE3C5C-7DFD-4771-A58B-1C745362C290}">
      <text>
        <r>
          <rPr>
            <b/>
            <sz val="9"/>
            <color indexed="81"/>
            <rFont val="Tahoma"/>
            <family val="2"/>
          </rPr>
          <t>Andy Gleadall:</t>
        </r>
        <r>
          <rPr>
            <sz val="9"/>
            <color indexed="81"/>
            <rFont val="Tahoma"/>
            <family val="2"/>
          </rPr>
          <t xml:space="preserve">
Leave as "no" unless you've watched the relevant tutorial video</t>
        </r>
      </text>
    </comment>
    <comment ref="S217" authorId="0" shapeId="0" xr:uid="{2C3AF835-66C8-425D-802E-E8E389C48EA7}">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20" authorId="0" shapeId="0" xr:uid="{918EB84F-1AFE-4CD3-B9D1-A5C9366ACF48}">
      <text>
        <r>
          <rPr>
            <b/>
            <sz val="9"/>
            <color indexed="81"/>
            <rFont val="Tahoma"/>
            <family val="2"/>
          </rPr>
          <t>Andy Gleadall:</t>
        </r>
        <r>
          <rPr>
            <sz val="9"/>
            <color indexed="81"/>
            <rFont val="Tahoma"/>
            <family val="2"/>
          </rPr>
          <t xml:space="preserve">
Unretraction occurs at the end of the non-extruding travel movement</t>
        </r>
      </text>
    </comment>
    <comment ref="S221" authorId="0" shapeId="0" xr:uid="{D61256C9-BBA5-406A-968E-2895927F5A94}">
      <text>
        <r>
          <rPr>
            <b/>
            <sz val="9"/>
            <color indexed="81"/>
            <rFont val="Tahoma"/>
            <family val="2"/>
          </rPr>
          <t>Andy Gleadall:</t>
        </r>
        <r>
          <rPr>
            <sz val="9"/>
            <color indexed="81"/>
            <rFont val="Tahoma"/>
            <family val="2"/>
          </rPr>
          <t xml:space="preserve">
Unretraction occurs at the end of the non-extruding travel movement</t>
        </r>
      </text>
    </comment>
    <comment ref="S222" authorId="0" shapeId="0" xr:uid="{D6FF844F-9AC3-43A2-867C-D91FBF1081A3}">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25" authorId="0" shapeId="0" xr:uid="{11C5B966-EC77-4267-8A69-72088609FF2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25" authorId="0" shapeId="0" xr:uid="{F05BF796-0CAB-476F-9C1C-2DB9953F3A79}">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25" authorId="0" shapeId="0" xr:uid="{DAB876B7-5370-4100-A323-ECA41EAD5768}">
      <text>
        <r>
          <rPr>
            <b/>
            <sz val="9"/>
            <color indexed="81"/>
            <rFont val="Tahoma"/>
            <family val="2"/>
          </rPr>
          <t>Andy Gleadall:</t>
        </r>
        <r>
          <rPr>
            <sz val="9"/>
            <color indexed="81"/>
            <rFont val="Tahoma"/>
            <family val="2"/>
          </rPr>
          <t xml:space="preserve">
Not used, but good practice!</t>
        </r>
      </text>
    </comment>
    <comment ref="A230" authorId="0" shapeId="0" xr:uid="{27A8EC5B-DE8D-496D-B57C-D574AC15AAC9}">
      <text>
        <r>
          <rPr>
            <b/>
            <sz val="9"/>
            <color indexed="81"/>
            <rFont val="Tahoma"/>
            <family val="2"/>
          </rPr>
          <t>Andy Gleadall:</t>
        </r>
        <r>
          <rPr>
            <sz val="9"/>
            <color indexed="81"/>
            <rFont val="Tahoma"/>
            <family val="2"/>
          </rPr>
          <t xml:space="preserve">
This is the name of the design when it's saved. 
Recommended good practice: save a new version (01, 02, 03, etc) each time you print GCODE and name the GCODE with exactly the same name. Then you have a record of the design and all settings for every GCODE you print.</t>
        </r>
      </text>
    </comment>
    <comment ref="C230" authorId="0" shapeId="0" xr:uid="{411C7AD6-764A-4715-A2BE-7A8ACEC64096}">
      <text>
        <r>
          <rPr>
            <b/>
            <sz val="9"/>
            <color indexed="81"/>
            <rFont val="Tahoma"/>
            <family val="2"/>
          </rPr>
          <t>Andy Gleadall:</t>
        </r>
        <r>
          <rPr>
            <sz val="9"/>
            <color indexed="81"/>
            <rFont val="Tahoma"/>
            <family val="2"/>
          </rPr>
          <t xml:space="preserve">
This must be the exact name of the worksheet where the design will be saved. It is possible to import and export a worksheet (e.g. if you have too many worksheets for different projects, or if you want to share your designs with a collaborator)</t>
        </r>
      </text>
    </comment>
    <comment ref="S233" authorId="0" shapeId="0" xr:uid="{41AD525D-83F7-413E-AF53-4BA4790DE1B8}">
      <text>
        <r>
          <rPr>
            <b/>
            <sz val="9"/>
            <color indexed="81"/>
            <rFont val="Tahoma"/>
            <family val="2"/>
          </rPr>
          <t>Andy Gleadall:</t>
        </r>
        <r>
          <rPr>
            <sz val="9"/>
            <color indexed="81"/>
            <rFont val="Tahoma"/>
            <family val="2"/>
          </rPr>
          <t xml:space="preserve">
Offsets the whole toolpath so design can start at a height of 0 rather than the Z value of the first layer. Only applied to GCODE - not the data in the Printpath worksheet</t>
        </r>
      </text>
    </comment>
    <comment ref="S234" authorId="0" shapeId="0" xr:uid="{C4D3EA83-4613-4860-B106-A98B06F619D2}">
      <text>
        <r>
          <rPr>
            <b/>
            <sz val="9"/>
            <color indexed="81"/>
            <rFont val="Tahoma"/>
            <family val="2"/>
          </rPr>
          <t>Andy Gleadall:</t>
        </r>
        <r>
          <rPr>
            <sz val="9"/>
            <color indexed="81"/>
            <rFont val="Tahoma"/>
            <family val="2"/>
          </rPr>
          <t xml:space="preserve">
Only applied to GCODE - not the data in the Printpath worksheet</t>
        </r>
      </text>
    </comment>
    <comment ref="S235" authorId="0" shapeId="0" xr:uid="{5AFA8725-9E25-48C7-8C40-0A46049E301A}">
      <text>
        <r>
          <rPr>
            <b/>
            <sz val="9"/>
            <color indexed="81"/>
            <rFont val="Tahoma"/>
            <family val="2"/>
          </rPr>
          <t>Andy Gleadall:</t>
        </r>
        <r>
          <rPr>
            <sz val="9"/>
            <color indexed="81"/>
            <rFont val="Tahoma"/>
            <family val="2"/>
          </rPr>
          <t xml:space="preserve">
Only applied to GCODE - not the data in the Printpath worksheet</t>
        </r>
      </text>
    </comment>
    <comment ref="S236" authorId="0" shapeId="0" xr:uid="{B44C896E-A4E8-4BCD-8291-51C17CCCC5DC}">
      <text>
        <r>
          <rPr>
            <b/>
            <sz val="9"/>
            <color indexed="81"/>
            <rFont val="Tahoma"/>
            <family val="2"/>
          </rPr>
          <t>Andy Gleadall:</t>
        </r>
        <r>
          <rPr>
            <sz val="9"/>
            <color indexed="81"/>
            <rFont val="Tahoma"/>
            <family val="2"/>
          </rPr>
          <t xml:space="preserve">
This must be the same as the name written in the first row of the StartGCODE worksheet. Leave as "Default" unless using multiple tools.</t>
        </r>
      </text>
    </comment>
    <comment ref="S237" authorId="0" shapeId="0" xr:uid="{C2B52F9C-BD37-4F32-9920-817DE3E7E692}">
      <text>
        <r>
          <rPr>
            <b/>
            <sz val="9"/>
            <color indexed="81"/>
            <rFont val="Tahoma"/>
            <family val="2"/>
          </rPr>
          <t>Andy Gleadall:</t>
        </r>
        <r>
          <rPr>
            <sz val="9"/>
            <color indexed="81"/>
            <rFont val="Tahoma"/>
            <family val="2"/>
          </rPr>
          <t xml:space="preserve">
Tool selected at the end of the startGCODE</t>
        </r>
      </text>
    </comment>
    <comment ref="S239" authorId="0" shapeId="0" xr:uid="{D4ADDD71-70CD-4E16-8BD5-037A5909F506}">
      <text>
        <r>
          <rPr>
            <b/>
            <sz val="9"/>
            <color indexed="81"/>
            <rFont val="Tahoma"/>
            <family val="2"/>
          </rPr>
          <t>Andy Gleadall:</t>
        </r>
        <r>
          <rPr>
            <sz val="9"/>
            <color indexed="81"/>
            <rFont val="Tahoma"/>
            <family val="2"/>
          </rPr>
          <t xml:space="preserve">
ONLY USED IF MANUALLY LINKED TO START GCODE</t>
        </r>
      </text>
    </comment>
    <comment ref="S240" authorId="0" shapeId="0" xr:uid="{7CF25881-01DE-4E3B-B561-F24596E651B1}">
      <text>
        <r>
          <rPr>
            <b/>
            <sz val="9"/>
            <color indexed="81"/>
            <rFont val="Tahoma"/>
            <family val="2"/>
          </rPr>
          <t>Andy Gleadall:</t>
        </r>
        <r>
          <rPr>
            <sz val="9"/>
            <color indexed="81"/>
            <rFont val="Tahoma"/>
            <family val="2"/>
          </rPr>
          <t xml:space="preserve">
Default speed when the nozzle is moving and extruding material</t>
        </r>
      </text>
    </comment>
    <comment ref="S241" authorId="0" shapeId="0" xr:uid="{2B9A4D12-8736-43F1-A3AB-D1469DD9F331}">
      <text>
        <r>
          <rPr>
            <b/>
            <sz val="9"/>
            <color indexed="81"/>
            <rFont val="Tahoma"/>
            <family val="2"/>
          </rPr>
          <t>Andy Gleadall:</t>
        </r>
        <r>
          <rPr>
            <sz val="9"/>
            <color indexed="81"/>
            <rFont val="Tahoma"/>
            <family val="2"/>
          </rPr>
          <t xml:space="preserve">
Default speed when the nozzle is moving whilst not extruding</t>
        </r>
      </text>
    </comment>
    <comment ref="S242" authorId="0" shapeId="0" xr:uid="{EE0D37A0-1EF3-49E1-86D6-1353B8C3C9AE}">
      <text>
        <r>
          <rPr>
            <b/>
            <sz val="9"/>
            <color indexed="81"/>
            <rFont val="Tahoma"/>
            <family val="2"/>
          </rPr>
          <t>Andy Gleadall:</t>
        </r>
        <r>
          <rPr>
            <sz val="9"/>
            <color indexed="81"/>
            <rFont val="Tahoma"/>
            <family val="2"/>
          </rPr>
          <t xml:space="preserve">
This value is only used if it is manually linked to the start GCODE.</t>
        </r>
      </text>
    </comment>
    <comment ref="S243" authorId="0" shapeId="0" xr:uid="{05194197-04F6-405F-BC94-663BC6862117}">
      <text>
        <r>
          <rPr>
            <b/>
            <sz val="9"/>
            <color indexed="81"/>
            <rFont val="Tahoma"/>
            <family val="2"/>
          </rPr>
          <t>Andy Gleadall:</t>
        </r>
        <r>
          <rPr>
            <sz val="9"/>
            <color indexed="81"/>
            <rFont val="Tahoma"/>
            <family val="2"/>
          </rPr>
          <t xml:space="preserve">
Diameter of the feedstock filament reel. For other material formats (e.g. pellets) contact the developer for support.</t>
        </r>
      </text>
    </comment>
    <comment ref="S244" authorId="0" shapeId="0" xr:uid="{EBB65F2F-943F-4C0C-8054-30F90FE6E516}">
      <text>
        <r>
          <rPr>
            <b/>
            <sz val="9"/>
            <color indexed="81"/>
            <rFont val="Tahoma"/>
            <family val="2"/>
          </rPr>
          <t>Andy Gleadall:</t>
        </r>
        <r>
          <rPr>
            <sz val="9"/>
            <color indexed="81"/>
            <rFont val="Tahoma"/>
            <family val="2"/>
          </rPr>
          <t xml:space="preserve">
Some printers have the option to describe extrusion in the GCODE in terms of either (ii) volume of material for the current movement of the nozzle, or (ii) length of filament to feed into the nozzle for the current movement of the nozzle. </t>
        </r>
      </text>
    </comment>
    <comment ref="S245" authorId="0" shapeId="0" xr:uid="{EF860E80-2F94-447E-B6A8-87E8A4C6D466}">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6" authorId="0" shapeId="0" xr:uid="{7C9F203A-3705-4D17-B897-40F48E178E00}">
      <text>
        <r>
          <rPr>
            <b/>
            <sz val="9"/>
            <color indexed="81"/>
            <rFont val="Tahoma"/>
            <family val="2"/>
          </rPr>
          <t>Andy Gleadall:</t>
        </r>
        <r>
          <rPr>
            <sz val="9"/>
            <color indexed="81"/>
            <rFont val="Tahoma"/>
            <family val="2"/>
          </rPr>
          <t xml:space="preserve">
This must be the same as the name written in the first row of the StartGCODE worksheet</t>
        </r>
      </text>
    </comment>
    <comment ref="S247" authorId="0" shapeId="0" xr:uid="{F8257149-705A-4A71-B9E9-D8CAE34F225A}">
      <text>
        <r>
          <rPr>
            <b/>
            <sz val="9"/>
            <color indexed="81"/>
            <rFont val="Tahoma"/>
            <family val="2"/>
          </rPr>
          <t>Andy Gleadall:</t>
        </r>
        <r>
          <rPr>
            <sz val="9"/>
            <color indexed="81"/>
            <rFont val="Tahoma"/>
            <family val="2"/>
          </rPr>
          <t xml:space="preserve">
Position af the nozzle at the end of the StartGCODE</t>
        </r>
      </text>
    </comment>
    <comment ref="S248" authorId="0" shapeId="0" xr:uid="{58F052BD-6541-4EB3-B7C0-2EFA50C715B0}">
      <text>
        <r>
          <rPr>
            <b/>
            <sz val="9"/>
            <color indexed="81"/>
            <rFont val="Tahoma"/>
            <family val="2"/>
          </rPr>
          <t>Andy Gleadall:</t>
        </r>
        <r>
          <rPr>
            <sz val="9"/>
            <color indexed="81"/>
            <rFont val="Tahoma"/>
            <family val="2"/>
          </rPr>
          <t xml:space="preserve">
Position af the nozzle at the end of the StartGCODE</t>
        </r>
      </text>
    </comment>
    <comment ref="S249" authorId="0" shapeId="0" xr:uid="{8954CC43-E0E9-411E-B854-DF09BDFBB097}">
      <text>
        <r>
          <rPr>
            <b/>
            <sz val="9"/>
            <color indexed="81"/>
            <rFont val="Tahoma"/>
            <family val="2"/>
          </rPr>
          <t>Andy Gleadall:</t>
        </r>
        <r>
          <rPr>
            <sz val="9"/>
            <color indexed="81"/>
            <rFont val="Tahoma"/>
            <family val="2"/>
          </rPr>
          <t xml:space="preserve">
Position af the nozzle at the end of the StartGCODE - EXCLUDING THE Zoffset!</t>
        </r>
      </text>
    </comment>
    <comment ref="S250" authorId="0" shapeId="0" xr:uid="{8E71885F-EDFA-4F98-A743-7DE5033DE0D0}">
      <text>
        <r>
          <rPr>
            <b/>
            <sz val="9"/>
            <color indexed="81"/>
            <rFont val="Tahoma"/>
            <family val="2"/>
          </rPr>
          <t>Andy Gleadall:</t>
        </r>
        <r>
          <rPr>
            <sz val="9"/>
            <color indexed="81"/>
            <rFont val="Tahoma"/>
            <family val="2"/>
          </rPr>
          <t xml:space="preserve">
This value is only used if it is manually linked to the start GCODE.</t>
        </r>
      </text>
    </comment>
    <comment ref="S251" authorId="0" shapeId="0" xr:uid="{54BC500C-F389-4893-A70F-D4488724B677}">
      <text>
        <r>
          <rPr>
            <b/>
            <sz val="9"/>
            <color indexed="81"/>
            <rFont val="Tahoma"/>
            <family val="2"/>
          </rPr>
          <t>Andy Gleadall:</t>
        </r>
        <r>
          <rPr>
            <sz val="9"/>
            <color indexed="81"/>
            <rFont val="Tahoma"/>
            <family val="2"/>
          </rPr>
          <t xml:space="preserve">
Leave as "no" unless you've watched the relevant tutorial video</t>
        </r>
      </text>
    </comment>
    <comment ref="S252" authorId="0" shapeId="0" xr:uid="{C4E18450-9CE1-40FB-95D9-2FE0BF1A3BFE}">
      <text>
        <r>
          <rPr>
            <b/>
            <sz val="9"/>
            <color indexed="81"/>
            <rFont val="Tahoma"/>
            <family val="2"/>
          </rPr>
          <t>Andy Gleadall:</t>
        </r>
        <r>
          <rPr>
            <sz val="9"/>
            <color indexed="81"/>
            <rFont val="Tahoma"/>
            <family val="2"/>
          </rPr>
          <t xml:space="preserve">
Minimum distance the nozzle must travel without extruding before auto-retraction is added</t>
        </r>
      </text>
    </comment>
    <comment ref="S255" authorId="0" shapeId="0" xr:uid="{FB41E8BB-A147-427E-92E8-B2AF082F9682}">
      <text>
        <r>
          <rPr>
            <b/>
            <sz val="9"/>
            <color indexed="81"/>
            <rFont val="Tahoma"/>
            <family val="2"/>
          </rPr>
          <t>Andy Gleadall:</t>
        </r>
        <r>
          <rPr>
            <sz val="9"/>
            <color indexed="81"/>
            <rFont val="Tahoma"/>
            <family val="2"/>
          </rPr>
          <t xml:space="preserve">
Unretraction occurs at the end of the non-extruding travel movement</t>
        </r>
      </text>
    </comment>
    <comment ref="S256" authorId="0" shapeId="0" xr:uid="{4E6B7585-607F-4F91-B2EC-9BA5CE7A7764}">
      <text>
        <r>
          <rPr>
            <b/>
            <sz val="9"/>
            <color indexed="81"/>
            <rFont val="Tahoma"/>
            <family val="2"/>
          </rPr>
          <t>Andy Gleadall:</t>
        </r>
        <r>
          <rPr>
            <sz val="9"/>
            <color indexed="81"/>
            <rFont val="Tahoma"/>
            <family val="2"/>
          </rPr>
          <t xml:space="preserve">
Unretraction occurs at the end of the non-extruding travel movement</t>
        </r>
      </text>
    </comment>
    <comment ref="S257" authorId="0" shapeId="0" xr:uid="{E9736FD5-3946-40F8-B4F4-9D0071D07350}">
      <text>
        <r>
          <rPr>
            <b/>
            <sz val="9"/>
            <color indexed="81"/>
            <rFont val="Tahoma"/>
            <family val="2"/>
          </rPr>
          <t>Andy Gleadall:</t>
        </r>
        <r>
          <rPr>
            <sz val="9"/>
            <color indexed="81"/>
            <rFont val="Tahoma"/>
            <family val="2"/>
          </rPr>
          <t xml:space="preserve">
If set above 0, the nozzle will jump up slightly before travelling and jump back down after travelling. It can help reduce stringing.</t>
        </r>
      </text>
    </comment>
    <comment ref="S260" authorId="0" shapeId="0" xr:uid="{1C3E4997-B1BB-4CA2-95C6-8881FF398040}">
      <text>
        <r>
          <rPr>
            <b/>
            <sz val="9"/>
            <color indexed="81"/>
            <rFont val="Tahoma"/>
            <family val="2"/>
          </rPr>
          <t>Andy Gleadall:</t>
        </r>
        <r>
          <rPr>
            <sz val="9"/>
            <color indexed="81"/>
            <rFont val="Tahoma"/>
            <family val="2"/>
          </rPr>
          <t xml:space="preserve">
This name will be set as the name of the cell immediately to the right of it (using Excel's named cell functionality)</t>
        </r>
      </text>
    </comment>
    <comment ref="T260" authorId="0" shapeId="0" xr:uid="{3AA6EC26-2DD1-4240-9B98-527DB1978747}">
      <text>
        <r>
          <rPr>
            <b/>
            <sz val="9"/>
            <color indexed="81"/>
            <rFont val="Tahoma"/>
            <family val="2"/>
          </rPr>
          <t>Andy Gleadall:</t>
        </r>
        <r>
          <rPr>
            <sz val="9"/>
            <color indexed="81"/>
            <rFont val="Tahoma"/>
            <family val="2"/>
          </rPr>
          <t xml:space="preserve">
The values in this column can be referred to in formulas by typing the parameter name</t>
        </r>
      </text>
    </comment>
    <comment ref="U260" authorId="0" shapeId="0" xr:uid="{DA9B37F0-90E6-4236-BABC-60B39C6D4727}">
      <text>
        <r>
          <rPr>
            <b/>
            <sz val="9"/>
            <color indexed="81"/>
            <rFont val="Tahoma"/>
            <family val="2"/>
          </rPr>
          <t>Andy Gleadall:</t>
        </r>
        <r>
          <rPr>
            <sz val="9"/>
            <color indexed="81"/>
            <rFont val="Tahoma"/>
            <family val="2"/>
          </rPr>
          <t xml:space="preserve">
Not used, but good practice!</t>
        </r>
      </text>
    </comment>
  </commentList>
</comments>
</file>

<file path=xl/sharedStrings.xml><?xml version="1.0" encoding="utf-8"?>
<sst xmlns="http://schemas.openxmlformats.org/spreadsheetml/2006/main" count="1686" uniqueCount="438">
  <si>
    <t>Feature</t>
  </si>
  <si>
    <t>Line</t>
  </si>
  <si>
    <t>Polar</t>
  </si>
  <si>
    <t>X1</t>
  </si>
  <si>
    <t>Y1</t>
  </si>
  <si>
    <t>X2</t>
  </si>
  <si>
    <t>Y2</t>
  </si>
  <si>
    <t>Xc</t>
  </si>
  <si>
    <t>Yc</t>
  </si>
  <si>
    <t>Rectangle</t>
  </si>
  <si>
    <t>Circle/arc</t>
  </si>
  <si>
    <t>NomHeight</t>
  </si>
  <si>
    <t>Features included</t>
  </si>
  <si>
    <t>Spacing</t>
  </si>
  <si>
    <t>Radius</t>
  </si>
  <si>
    <t>NomWidth</t>
  </si>
  <si>
    <t>CW or anti-CW</t>
  </si>
  <si>
    <t>Reflect</t>
  </si>
  <si>
    <t>(Xc Yc is the point the reflective line goes through - centre of circle for polar line)</t>
  </si>
  <si>
    <t>Cartesian</t>
  </si>
  <si>
    <t>Print</t>
  </si>
  <si>
    <t>CW</t>
  </si>
  <si>
    <t>Repeats (excl. original)</t>
  </si>
  <si>
    <t>1,2</t>
  </si>
  <si>
    <t>Travel</t>
  </si>
  <si>
    <t>NomWidthIncrement</t>
  </si>
  <si>
    <t>OffsetPolar</t>
  </si>
  <si>
    <t>OffsetPolarIncrement</t>
  </si>
  <si>
    <t>VALUE</t>
  </si>
  <si>
    <t>OffsetLinearIncrement</t>
  </si>
  <si>
    <t>OffsetLinear</t>
  </si>
  <si>
    <t>Xoffset</t>
  </si>
  <si>
    <t>Yoffset</t>
  </si>
  <si>
    <t>Inside or Outside</t>
  </si>
  <si>
    <t>Z1</t>
  </si>
  <si>
    <t>Z2</t>
  </si>
  <si>
    <t>Feature number</t>
  </si>
  <si>
    <t>Notes</t>
  </si>
  <si>
    <t>Z</t>
  </si>
  <si>
    <t>anti-CW</t>
  </si>
  <si>
    <t>Retraction</t>
  </si>
  <si>
    <t>Settings</t>
  </si>
  <si>
    <t>NozzleTemp</t>
  </si>
  <si>
    <t>FeedstockFilamentDiameter</t>
  </si>
  <si>
    <t>C</t>
  </si>
  <si>
    <t>mm</t>
  </si>
  <si>
    <t>mm/min</t>
  </si>
  <si>
    <t>ExtrusionUnits</t>
  </si>
  <si>
    <t>E</t>
  </si>
  <si>
    <t>Command</t>
  </si>
  <si>
    <t>Travel automaticalled added for feature 8</t>
  </si>
  <si>
    <t>Custom GCODE</t>
  </si>
  <si>
    <t>String</t>
  </si>
  <si>
    <t>Value</t>
  </si>
  <si>
    <t>Repeat rule</t>
  </si>
  <si>
    <t>RepeatEnd</t>
  </si>
  <si>
    <t>Polar repeat</t>
  </si>
  <si>
    <t>Cartesian repeat</t>
  </si>
  <si>
    <t>Radial (+ive = out)</t>
  </si>
  <si>
    <t>CartesianRepFeat1 of LineFeat1</t>
  </si>
  <si>
    <t>Repeated feature(s)</t>
  </si>
  <si>
    <t>Angle (+ive = anti-CW)</t>
  </si>
  <si>
    <t>CartesianRepFeat1 of CustomGCODEFeat1</t>
  </si>
  <si>
    <t>CartesianRepFeat1 of PolarRepFeat1 of LineFeat1</t>
  </si>
  <si>
    <t>CartesianRepFeat1 of CustomGCODEFeat2</t>
  </si>
  <si>
    <t>CartesianRepFeat1 of PolarRepFeat1 of CustomGCODEFeat1</t>
  </si>
  <si>
    <t>CartesianRepFeat1 of PolarRepFeat1 of CustomGCODEFeat2</t>
  </si>
  <si>
    <t>Extra</t>
  </si>
  <si>
    <t>GenericParameterIncrement</t>
  </si>
  <si>
    <t>E-value (+ive = retract)</t>
  </si>
  <si>
    <t>GenericParameter</t>
  </si>
  <si>
    <t>ParamNumber(colB=1)</t>
  </si>
  <si>
    <t>ONLY WORKS FOR CUSTOM GCODE AND RETRACTION. For multiple features, they all have the same param numbers modified, which it turn all have the same modifier value. Create a new value if there are multiple values or different parameters for different features</t>
  </si>
  <si>
    <t>Polygon</t>
  </si>
  <si>
    <t>NumberOfSegments</t>
  </si>
  <si>
    <t>NumberOfSides</t>
  </si>
  <si>
    <t>RadiusOfCircleContainingPolygon</t>
  </si>
  <si>
    <t>AngleStart (0=+X,90=+Y)</t>
  </si>
  <si>
    <t>AngleOfStartPoint (0=+X,90=+Y)</t>
  </si>
  <si>
    <t>ArcAngle (0-360)</t>
  </si>
  <si>
    <t>AngleEnd (0=+X,90=+Y)</t>
  </si>
  <si>
    <t>X-centre</t>
  </si>
  <si>
    <t>Y-centre</t>
  </si>
  <si>
    <t>Z-centre</t>
  </si>
  <si>
    <t>RadiusOfPoint1</t>
  </si>
  <si>
    <t>RadiusOfPoint2</t>
  </si>
  <si>
    <t>"Print" or "Travel"</t>
  </si>
  <si>
    <t>X-disp</t>
  </si>
  <si>
    <t>Y-disp</t>
  </si>
  <si>
    <t>Z-disp</t>
  </si>
  <si>
    <t>This only works for rectangles. For polygons and circles/arcs, use "Polar repeat" with radial displacement to achieve a concentric pattern</t>
  </si>
  <si>
    <t>mm3</t>
  </si>
  <si>
    <t>G92 E0</t>
  </si>
  <si>
    <t>G10</t>
  </si>
  <si>
    <t>M107</t>
  </si>
  <si>
    <t>NozzleFeedratePrinting</t>
  </si>
  <si>
    <t>NozzleFeedrateTravelling</t>
  </si>
  <si>
    <t>FirstLayerExtrusionMultiplier</t>
  </si>
  <si>
    <t>FirstLayerNozzleSpeedMultiplier</t>
  </si>
  <si>
    <t>no units</t>
  </si>
  <si>
    <t>mm OR mm3</t>
  </si>
  <si>
    <t>G11</t>
  </si>
  <si>
    <t>;Version _2.6 of the firmware can abort the print too early if the file ends</t>
  </si>
  <si>
    <t>;too soon. However if the file hasn't ended yet because there are comments at</t>
  </si>
  <si>
    <t>;the end of the file, it won't abort yet. Therefore we have to put at least 512</t>
  </si>
  <si>
    <t>;bytes at the end of the g-code so that the file is not yet finished by the</t>
  </si>
  <si>
    <t>;time that the motion planner gets flushed. With firmware version _3.3 this</t>
  </si>
  <si>
    <t>;should be fixed, so this comment wouldn't be necessary any more. Now we have</t>
  </si>
  <si>
    <t>;to pad this text to make precisely 512 bytes.</t>
  </si>
  <si>
    <t>M82 ;absolute extrusion mode</t>
  </si>
  <si>
    <t>;End of Gcode</t>
  </si>
  <si>
    <t>;SETTING_3 {"global_quality": "[general]\\nversion = 3\\nname = Fine #2\\ndefini</t>
  </si>
  <si>
    <t>;SETTING_3 tion = ultimaker2_plus\\n\\n[metadata]\\nsetting_version = 4\\nqualit</t>
  </si>
  <si>
    <t>;SETTING_3 y_type = normal\\ntype = quality_changes\\n\\n[values]\\nadhesion_typ</t>
  </si>
  <si>
    <t>;SETTING_3 e = none\\nlayer_height = 0.2\\nlayer_height_0 = 0.3\\n\\n", "extrude</t>
  </si>
  <si>
    <t>;SETTING_3 r_quality": ["[general]\\nversion = 3\\nname = Fine #2\\ndefinition =</t>
  </si>
  <si>
    <t>;SETTING_3  ultimaker2_plus\\n\\n[metadata]\\nsetting_version = 4\\nquality_type</t>
  </si>
  <si>
    <t>;SETTING_3  = normal\\nposition = 0\\ntype = quality_changes\\n\\n[values]\\nlin</t>
  </si>
  <si>
    <t>;SETTING_3 e_width = 0.4\\nspeed_print = 25\\n\\n"]}</t>
  </si>
  <si>
    <t>X-formula</t>
  </si>
  <si>
    <t>Y-formula</t>
  </si>
  <si>
    <t>Z-formula</t>
  </si>
  <si>
    <t>"T"-start</t>
  </si>
  <si>
    <t>"T"-end</t>
  </si>
  <si>
    <t>Zoffset</t>
  </si>
  <si>
    <t>F</t>
  </si>
  <si>
    <t>R0</t>
  </si>
  <si>
    <t>ArcAngle</t>
  </si>
  <si>
    <t>HalfAngle</t>
  </si>
  <si>
    <t>Period</t>
  </si>
  <si>
    <t>HalfPeriod</t>
  </si>
  <si>
    <t>QuarterPeriod</t>
  </si>
  <si>
    <t>R-1</t>
  </si>
  <si>
    <t>ID:</t>
  </si>
  <si>
    <t>StartGCODE ID</t>
  </si>
  <si>
    <t>M83 ;relative extrusion mode</t>
  </si>
  <si>
    <t xml:space="preserve"> </t>
  </si>
  <si>
    <t>ID</t>
  </si>
  <si>
    <t>Line Equation</t>
  </si>
  <si>
    <t>NumberOfSegments (equal T spacing)</t>
  </si>
  <si>
    <t>0</t>
  </si>
  <si>
    <t>Tval*0.2</t>
  </si>
  <si>
    <t>R100</t>
  </si>
  <si>
    <t>ApplyToStartNode? (YES/NO)</t>
  </si>
  <si>
    <t>ApplyToEndNode? (YES/NO)</t>
  </si>
  <si>
    <t>YES</t>
  </si>
  <si>
    <t>M84</t>
  </si>
  <si>
    <t>; END OF END CODE</t>
  </si>
  <si>
    <t>;START OF THE END GCODE</t>
  </si>
  <si>
    <t>;FLAVOR:UltiGCode</t>
  </si>
  <si>
    <t>;TIME:5381</t>
  </si>
  <si>
    <t>;MATERIAL:3241</t>
  </si>
  <si>
    <t>;MATERIAL2:0</t>
  </si>
  <si>
    <t>;NOZZLE_DIAMETER:0.4</t>
  </si>
  <si>
    <t>G28 ;Home</t>
  </si>
  <si>
    <t>G1 Z15.0 F6000 ;Move the platform down 15mm</t>
  </si>
  <si>
    <t>;Prime the extruder</t>
  </si>
  <si>
    <t>G1 F200 E3</t>
  </si>
  <si>
    <t>;LAYER_COUNT:330</t>
  </si>
  <si>
    <t>;LAYER:0</t>
  </si>
  <si>
    <t>M106</t>
  </si>
  <si>
    <t>;END OF THE START GCODE</t>
  </si>
  <si>
    <t>XY</t>
  </si>
  <si>
    <t>PolarAngle</t>
  </si>
  <si>
    <t>OffsetLinearIncrementGraded</t>
  </si>
  <si>
    <t>ULTI2+_1</t>
  </si>
  <si>
    <t>R45</t>
  </si>
  <si>
    <t>4,5</t>
  </si>
  <si>
    <t>G0 F4320 X20.0 Y10.0 Z0.3</t>
  </si>
  <si>
    <t>;G10</t>
  </si>
  <si>
    <t>Save to sheet:</t>
  </si>
  <si>
    <t>Design ID:</t>
  </si>
  <si>
    <t>Save data (DO NOT DELETE):</t>
  </si>
  <si>
    <t>Recycle bin designs:</t>
  </si>
  <si>
    <t>FspeedIncrement</t>
  </si>
  <si>
    <t>Fspeed</t>
  </si>
  <si>
    <t>NomHeightIncrement</t>
  </si>
  <si>
    <t>Feature tree</t>
  </si>
  <si>
    <t>UnitCells</t>
  </si>
  <si>
    <t>degrees</t>
  </si>
  <si>
    <t>OffsetLinearMaths</t>
  </si>
  <si>
    <t>Terms for X/Y/Z equations: 
"Xval" "Yval" "Zval" "REPval" where REPval is the number of the repeat being modified (starting at 1 for the first repeat being modified [even if that is not the first repeat])
The X/Y/Z values are taken from the start and end node as appropriate.</t>
  </si>
  <si>
    <t>(50-Yval)*(50-Xval)*REPval/2000</t>
  </si>
  <si>
    <t>Choose: 
NomWidth NomWidthIncrement (parameters: width)
NomHeight NomHeightIncrement (parameters: height)
Fspeed FspeedIncrement (parameters: speed)
OffsetLinear OffsetLinearIncrement OffsetLinearIncrementGraded  (parameters: Xoffset, Yoffset)
OffsetPolar OffsetPolarIncrement  (parameters: Xcentre, Ycentre, AngleOffset, RadialOffset)
GenericParameterIncrement GenericParameter (ParamNumber(colB=1), Value) - ONLY WORKS FOR CUSTOM GCODE AND RETRACTION
Etc.</t>
  </si>
  <si>
    <r>
      <rPr>
        <b/>
        <sz val="11"/>
        <color rgb="FF7030A0"/>
        <rFont val="Calibri"/>
        <family val="2"/>
        <scheme val="minor"/>
      </rPr>
      <t>RepeatING feature</t>
    </r>
    <r>
      <rPr>
        <sz val="11"/>
        <color rgb="FF7030A0"/>
        <rFont val="Calibri"/>
        <family val="2"/>
        <scheme val="minor"/>
      </rPr>
      <t xml:space="preserve"> </t>
    </r>
    <r>
      <rPr>
        <i/>
        <sz val="11"/>
        <color rgb="FF7030A0"/>
        <rFont val="Calibri"/>
        <family val="2"/>
        <scheme val="minor"/>
      </rPr>
      <t>- the feature doing the repeating</t>
    </r>
  </si>
  <si>
    <r>
      <rPr>
        <b/>
        <sz val="11"/>
        <color rgb="FF7030A0"/>
        <rFont val="Calibri"/>
        <family val="2"/>
        <scheme val="minor"/>
      </rPr>
      <t>RepeatED feature(s)</t>
    </r>
    <r>
      <rPr>
        <sz val="11"/>
        <color rgb="FF7030A0"/>
        <rFont val="Calibri"/>
        <family val="2"/>
        <scheme val="minor"/>
      </rPr>
      <t xml:space="preserve"> </t>
    </r>
    <r>
      <rPr>
        <i/>
        <sz val="11"/>
        <color rgb="FF7030A0"/>
        <rFont val="Calibri"/>
        <family val="2"/>
        <scheme val="minor"/>
      </rPr>
      <t>- the feature(s) being repeated</t>
    </r>
  </si>
  <si>
    <r>
      <rPr>
        <b/>
        <sz val="11"/>
        <color rgb="FF7030A0"/>
        <rFont val="Calibri"/>
        <family val="2"/>
        <scheme val="minor"/>
      </rPr>
      <t>RepeatStart</t>
    </r>
    <r>
      <rPr>
        <sz val="11"/>
        <color rgb="FF7030A0"/>
        <rFont val="Calibri"/>
        <family val="2"/>
        <scheme val="minor"/>
      </rPr>
      <t xml:space="preserve">:
</t>
    </r>
    <r>
      <rPr>
        <i/>
        <sz val="11"/>
        <color rgb="FF7030A0"/>
        <rFont val="Calibri"/>
        <family val="2"/>
        <scheme val="minor"/>
      </rPr>
      <t>0 is the original feature
1 is the first repeated feature</t>
    </r>
  </si>
  <si>
    <t>Line (cartesian)</t>
  </si>
  <si>
    <t>Line (polar)</t>
  </si>
  <si>
    <t>Reflect (XY)</t>
  </si>
  <si>
    <t>Reflect (polar)</t>
  </si>
  <si>
    <t>Calculation order = 
all three calculations based on the initial position</t>
  </si>
  <si>
    <t>Calculation order = 
X then Y then Z then Width then Height then Eoverride then F-Speed … NOTE THAT CALCULATIONS ARE DONE ONLY ONCE! NO ITERATIVE SOLVING!</t>
  </si>
  <si>
    <t>Concentric repeat (only for "rectangle")</t>
  </si>
  <si>
    <t>EndGCODE ID</t>
  </si>
  <si>
    <t>ULTI2+_Temps&amp;Fan</t>
  </si>
  <si>
    <t>AutoTravelRetraction?</t>
  </si>
  <si>
    <t>F-Speed (for retraction)</t>
  </si>
  <si>
    <t>F-Speed (for Z-hop)</t>
  </si>
  <si>
    <t>Z-hop (mm) (+ive = +Z)</t>
  </si>
  <si>
    <t>yes/no</t>
  </si>
  <si>
    <t xml:space="preserve"> - Threshold distance</t>
  </si>
  <si>
    <t xml:space="preserve"> - Retraction (E-value)</t>
  </si>
  <si>
    <t xml:space="preserve"> - Retraction speed (F-value)</t>
  </si>
  <si>
    <t xml:space="preserve"> - Unretraction (E-value)</t>
  </si>
  <si>
    <t xml:space="preserve"> - Unretraction speed (F-value)</t>
  </si>
  <si>
    <t xml:space="preserve"> - Z-hop</t>
  </si>
  <si>
    <t xml:space="preserve"> - Z-hop speed (F-value)</t>
  </si>
  <si>
    <t>no</t>
  </si>
  <si>
    <t>Start X (after StartGCODE)</t>
  </si>
  <si>
    <t>Start Y (after StartGCODE)</t>
  </si>
  <si>
    <t>Start Z (after StartGCODE)</t>
  </si>
  <si>
    <t>;GCODE generated with FullControl GCODE Designer software - contact Andy Gleadall (a.gleadall@lboro.ac.uk) for more information</t>
  </si>
  <si>
    <t>OffsetPolarMaths</t>
  </si>
  <si>
    <t>RadialDisp-formula</t>
  </si>
  <si>
    <t>Line equation</t>
  </si>
  <si>
    <t>Line equation polar</t>
  </si>
  <si>
    <t>Radial-formula</t>
  </si>
  <si>
    <t>Angle-formula (radians)</t>
  </si>
  <si>
    <t>Reflect (Z)</t>
  </si>
  <si>
    <t>Zvalue</t>
  </si>
  <si>
    <t>To move up by one layer, set Z value to be the current value plus HALF a layer height (it can be written as a relateive value using "R")</t>
  </si>
  <si>
    <t>Width</t>
  </si>
  <si>
    <t>Height</t>
  </si>
  <si>
    <t>E=?;F=?;T=?     EvalueOverride;F-SpeedOverride:ToolNumber</t>
  </si>
  <si>
    <t>ChangeTool</t>
  </si>
  <si>
    <t>Number of the new tool for each repeat this rule applies to</t>
  </si>
  <si>
    <t>Value of width for each repeat this rule applies to</t>
  </si>
  <si>
    <t>How much to change the width by (absolute) for each repeat this rule applies to (cumulative)</t>
  </si>
  <si>
    <t>Value of height for each repeat this rule applies to</t>
  </si>
  <si>
    <t>How much to change the height by (absolute) for each repeat this rule applies to (cumulative)</t>
  </si>
  <si>
    <t>Value of speed for each repeat this rule applies to</t>
  </si>
  <si>
    <t>How much to change the wpeed by (absolute) for each repeat this rule applies to (cumulative)</t>
  </si>
  <si>
    <t>Rotation centre (XY), angular rotation increment (degree), and radial displacement (mm) for each line for each repeat this rule applies to (cumulative)</t>
  </si>
  <si>
    <t>F-speed formula</t>
  </si>
  <si>
    <t>T=?;more?</t>
  </si>
  <si>
    <t>ToolChange ID</t>
  </si>
  <si>
    <t>Start tool  (after StartGCODE)</t>
  </si>
  <si>
    <t>Tool0 activate</t>
  </si>
  <si>
    <t>Tool0 deactivate</t>
  </si>
  <si>
    <t>Tool1 activate</t>
  </si>
  <si>
    <t>Tool1 deactivate</t>
  </si>
  <si>
    <t>Tool2 activate</t>
  </si>
  <si>
    <t>Tool2 deactivate</t>
  </si>
  <si>
    <t>Tool3 activate</t>
  </si>
  <si>
    <t>Tool3 deactivate</t>
  </si>
  <si>
    <t>T</t>
  </si>
  <si>
    <t>Default</t>
  </si>
  <si>
    <t>;T0A1</t>
  </si>
  <si>
    <t>;T0A2</t>
  </si>
  <si>
    <t>;T0A3</t>
  </si>
  <si>
    <t>;T0A4</t>
  </si>
  <si>
    <t>;T0A5</t>
  </si>
  <si>
    <t>;T0D1</t>
  </si>
  <si>
    <t>;T0D2</t>
  </si>
  <si>
    <t>;T0D3</t>
  </si>
  <si>
    <t>;T0D4</t>
  </si>
  <si>
    <t>;T0D5</t>
  </si>
  <si>
    <t>;T1A1</t>
  </si>
  <si>
    <t>;T1A2</t>
  </si>
  <si>
    <t>;T1A3</t>
  </si>
  <si>
    <t>;T1A4</t>
  </si>
  <si>
    <t>;T1A5</t>
  </si>
  <si>
    <t>;T1D1</t>
  </si>
  <si>
    <t>;T1D2</t>
  </si>
  <si>
    <t>;T1D3</t>
  </si>
  <si>
    <t>;T1D4</t>
  </si>
  <si>
    <t>;T1D5</t>
  </si>
  <si>
    <t>;T2A2</t>
  </si>
  <si>
    <t>;T2A1</t>
  </si>
  <si>
    <t>;T2A3</t>
  </si>
  <si>
    <t>;T2A4</t>
  </si>
  <si>
    <t>;T2A5</t>
  </si>
  <si>
    <t>;T2D1</t>
  </si>
  <si>
    <t>;T2D2</t>
  </si>
  <si>
    <t>;T2D3</t>
  </si>
  <si>
    <t>;T2D4</t>
  </si>
  <si>
    <t>;T2D5</t>
  </si>
  <si>
    <t>;T3A1</t>
  </si>
  <si>
    <t>;T3A2</t>
  </si>
  <si>
    <t>;T3A3</t>
  </si>
  <si>
    <t>;T3A4</t>
  </si>
  <si>
    <t>;T3A5</t>
  </si>
  <si>
    <t>;T3D1</t>
  </si>
  <si>
    <t>;T3D2</t>
  </si>
  <si>
    <t>;T3D3</t>
  </si>
  <si>
    <t>;T3D4</t>
  </si>
  <si>
    <t>;T3D5</t>
  </si>
  <si>
    <t>Eoverride-formula (per seg)</t>
  </si>
  <si>
    <t>Postprocess</t>
  </si>
  <si>
    <t>Choose:
OffsetLinear
OffsetLinearMaths
OffsetPolar
OffsetPolarMaths</t>
  </si>
  <si>
    <t>Rotation centre (XY), angular rotation increment (degree), and radial displacement (mm) for each line for each repeat this rule applies to</t>
  </si>
  <si>
    <t>Rotation centre (XY), equation for angular displacement (radians), and equation for radial displacement (mm) for each line for each repeat this rule applies to</t>
  </si>
  <si>
    <t>Terms for X/Y equations: 
"Tval" "Zval"
Terms for Z equation: 
"Tval" "Xval" "Yval" "Zval"
Terms for the other 4 equations:
"Tstart" "Xstart" "Ystart" "Zstart" = T/X/Y/Z at start of segment
"Tend" "Xend" "Yend" "Zend" = T/X/Y/Z at end of segment
"Tmid" "Xmid" "Ymid" "Zmid" = mean of start and end</t>
  </si>
  <si>
    <t>Calculation order = 
Angle then Radius then Z then Width then Height then Eoverride then F-Speed … NOTE THAT CALCULATIONS ARE DONE ONLY ONCE! NO ITERATIVE SOLVING!
Terms for Angle/Radius equations: 
"Tval" "Zval"
Terms for Z equation: 
"Tval" "Aval" (radians) "Rval" "Zval"
Terms for the other 4 equations:
"Tstart" "Astart"(radians) "Rstart" "Zstart" = T/Angle/Radius/Z at start of segment
"Tend" "Aend"(radians) "Rend" "Zend" = T/Angle/Radius/Z at end of segment
"Tmid" "Amid"(radians) "Rmid" "Zmid" = mean of start and end</t>
  </si>
  <si>
    <t>Terms for A/R/Z equations: 
"Xval" "Yval" "Zval" "Aval" "Rval" "REPval" where REPval is the number of the repeat being modified (starting at 1 for the first repeat being modified [even if that is not the first repeat])
The X/Y/Z values are taken from the start and end node as appropriate.</t>
  </si>
  <si>
    <t>RadialDisp</t>
  </si>
  <si>
    <t>AngularDisp</t>
  </si>
  <si>
    <t>AngularDisp-formula</t>
  </si>
  <si>
    <t>Xoffset-formula</t>
  </si>
  <si>
    <t>Yoffset-formula</t>
  </si>
  <si>
    <t>Zoffset-formula</t>
  </si>
  <si>
    <t>AngleDisp</t>
  </si>
  <si>
    <t>AngleDisp-formula</t>
  </si>
  <si>
    <t>sin(Aval*2)*3*Zval/20</t>
  </si>
  <si>
    <t>Choose EITHER cartesian or polar displacements</t>
  </si>
  <si>
    <t>Features are simply copied directly, as if they were now rows written by the user (feature numbers are updated for features like cartesian repeat that refer to other features)</t>
  </si>
  <si>
    <t>Radial (+ive = out) (degrees)</t>
  </si>
  <si>
    <t>Reproduce and recalculate</t>
  </si>
  <si>
    <t>Original feature numbers</t>
  </si>
  <si>
    <t>New feature numbers</t>
  </si>
  <si>
    <t>Feature details</t>
  </si>
  <si>
    <t>Copied feature</t>
  </si>
  <si>
    <t>NOTE: parameters described by relative coordinates (e.g. "R0") will not be changed. Nor will "offsets." Nor will linear equations for "Postprocess" features (but they could be if needed, and polar offsets/equations do have the Xcentre and Ycentre adjusted).</t>
  </si>
  <si>
    <t>1-4</t>
  </si>
  <si>
    <t>StartX</t>
  </si>
  <si>
    <t>StartY</t>
  </si>
  <si>
    <t>E=?;F=?;T=?     EvaluePerSegmentOverride;F-SpeedOverride:ToolNumber</t>
  </si>
  <si>
    <t>NumberOfLayers</t>
  </si>
  <si>
    <t>SecondLayerOffset</t>
  </si>
  <si>
    <t>TotalHeight</t>
  </si>
  <si>
    <t>PRINT FIRST ARC</t>
  </si>
  <si>
    <t>PRINT SECOND ARC</t>
  </si>
  <si>
    <t>REFLECT TO REPEAT FIRST WAVE-LINE</t>
  </si>
  <si>
    <t>REPEAT FIRST TWO WAVE-LINES MULTIPLE TIMES</t>
  </si>
  <si>
    <t>REPEAT FOR MULTIPLE LAYERS</t>
  </si>
  <si>
    <t>REPEAT BOTH ARCS MULTIPLE TIMES</t>
  </si>
  <si>
    <t>ROTATE EACH LAYER-REPITITION BY 90°</t>
  </si>
  <si>
    <t>1-3</t>
  </si>
  <si>
    <t>1-2</t>
  </si>
  <si>
    <t>1-5</t>
  </si>
  <si>
    <t>Lattice</t>
  </si>
  <si>
    <t>Save time: 03/07/2020 16:13:37</t>
  </si>
  <si>
    <t>Comments</t>
  </si>
  <si>
    <t>1</t>
  </si>
  <si>
    <t>SKIP_Repeat rule</t>
  </si>
  <si>
    <t>Parameter name</t>
  </si>
  <si>
    <t>Parameter value</t>
  </si>
  <si>
    <t>SKIP_Postprocess</t>
  </si>
  <si>
    <t>Sides</t>
  </si>
  <si>
    <t>PRINT POLYGON WITH NUMBER OF SIDES INDICATED BY "Sides" PARAMETER</t>
  </si>
  <si>
    <t>REPEAT FOR NUMBER OF LAYERS LISTED BY THE "Layers" PARAMETER</t>
  </si>
  <si>
    <t>Layers</t>
  </si>
  <si>
    <t>NonplanarCylinder</t>
  </si>
  <si>
    <t>Save time: 14/07/2020 11:50:24</t>
  </si>
  <si>
    <t>USE EITHER FEATURE 3 OR 4 TO MAKE CYLINDER NONPLANAR</t>
  </si>
  <si>
    <t>FLOW STABILISER (E.G. USE AS FEATURES 1 TO 3) - AKA PRIMER</t>
  </si>
  <si>
    <t>ExampleFlowStabiliser (Primer)</t>
  </si>
  <si>
    <t>Save time: 14/07/2020 11:59:00</t>
  </si>
  <si>
    <t>NonplanarCylinder+FlowStabiliser</t>
  </si>
  <si>
    <t>Save time: 14/07/2020 12:03:53</t>
  </si>
  <si>
    <t>ShoulderThickness</t>
  </si>
  <si>
    <t>GaugeThickness</t>
  </si>
  <si>
    <t>LayerHeight</t>
  </si>
  <si>
    <t>PRINT FIRST WALL</t>
  </si>
  <si>
    <t>REPEAT WALL THREE TIMES TO PRINT A SQUARE</t>
  </si>
  <si>
    <t>REPEAT SQUARE FOR MANY LAYER UP TO A HEIGHT OF 45 MM</t>
  </si>
  <si>
    <t>RULE TO CHANGE EXTRUSION WIDTH IN GAUGE</t>
  </si>
  <si>
    <t>RULE TO TAPER FROM SHOULDER TO GAUGE (LOWER TRANSITION)</t>
  </si>
  <si>
    <t>RULE TO TAPER FROM GAUGE TO SHOULDER (UPPER TRANSITION)</t>
  </si>
  <si>
    <t>RULE FOR UPPER TRANSITION SECTION (ALLOWS TAPER IN FEATURE 7)</t>
  </si>
  <si>
    <t>Similar structures use in:</t>
  </si>
  <si>
    <t>https://doi.org/10.1016/j.jmbbm.2019.103510</t>
  </si>
  <si>
    <t>https://doi.org/10.1016/j.addma.2020.101297</t>
  </si>
  <si>
    <t>https://doi.org/10.1016/j.prostr.2018.12.103</t>
  </si>
  <si>
    <t>Save time: 14/07/2020 12:27:19</t>
  </si>
  <si>
    <t>TensileTestingBox</t>
  </si>
  <si>
    <t>A CONTINUOUSLY PRINTED CURVE MADE OF 10,000 LINE SEGMENTS</t>
  </si>
  <si>
    <t>SineTube</t>
  </si>
  <si>
    <t>Save time: 14/07/2020 12:40:15</t>
  </si>
  <si>
    <t>Defined:</t>
  </si>
  <si>
    <t>Automatically identified:</t>
  </si>
  <si>
    <t>See tutorials of how to use "Skip/Stop/Use" functions to disable and enable either feature 6 or 7.</t>
  </si>
  <si>
    <t>USE EITHER FEATURE 6 OR 7 TO MAKE CYLINDER NONPLANAR</t>
  </si>
  <si>
    <t>Fluctuation</t>
  </si>
  <si>
    <t>Units</t>
  </si>
  <si>
    <t>110-(Radius-Fluctuation*(cos((Tval/50)*2*pi())))*cos(Tval*2*pi())</t>
  </si>
  <si>
    <t>100+(Radius+Fluctuation*(cos((Tval/50)*2*pi())))*sin(Tval*2*pi())</t>
  </si>
  <si>
    <t>FullControlPaperExamples</t>
  </si>
  <si>
    <t>See tutorials of how to use "Skip/Stop/Use" functions to disable and enable either feature 3 or 4.</t>
  </si>
  <si>
    <t>FullControl automatically adds lines of non-extruding travel ("G0" commands) to move the nozzle between the lines.</t>
  </si>
  <si>
    <t>Make sure GCODE preview software is set to "Show Travel Moves" (or the equivalent option).</t>
  </si>
  <si>
    <t>It is better to define all lines, including non-extruding travel lines, to minimise undefined nozzle movements.</t>
  </si>
  <si>
    <t>BedTemp</t>
  </si>
  <si>
    <t>FanSpeed</t>
  </si>
  <si>
    <t>DO NOT CHANGE X, Y,  Z or F-speed because the program does not current detect this yet</t>
  </si>
  <si>
    <t>This sheet contains the information required for each type of feature. Units should be considered to be mm and degrees unless stated otherwise. Further details are provided about each feature in supporting videos.</t>
  </si>
  <si>
    <t>Also for simplicity, the outer edges of this structure are only printed every alternate layer so would need to be cut of after manufacture.</t>
  </si>
  <si>
    <t>Note that for simplicity in this illustrative design, disconnected wavy lines are created.</t>
  </si>
  <si>
    <t>R50</t>
  </si>
  <si>
    <t>R-50</t>
  </si>
  <si>
    <t>R-6</t>
  </si>
  <si>
    <t>Flow mixer</t>
  </si>
  <si>
    <t>Demos</t>
  </si>
  <si>
    <t>Save time: 24/07/2020 08:01:19</t>
  </si>
  <si>
    <t>Y3.51,Y3.101,N1</t>
  </si>
  <si>
    <t>((xval-50)/20)*(0.2*REPval)</t>
  </si>
  <si>
    <t>((sin(2*Aval-(pi()/2)))*0.08+0.02)*REPval</t>
  </si>
  <si>
    <t>R0.3</t>
  </si>
  <si>
    <t>R-0.3</t>
  </si>
  <si>
    <t>R2</t>
  </si>
  <si>
    <t>R20</t>
  </si>
  <si>
    <t>Rectangle base</t>
  </si>
  <si>
    <t>Move to start (5mm right)</t>
  </si>
  <si>
    <t>Move up</t>
  </si>
  <si>
    <t>Move across</t>
  </si>
  <si>
    <t>Move down</t>
  </si>
  <si>
    <t>Move sideways to begin next string</t>
  </si>
  <si>
    <t>R-20</t>
  </si>
  <si>
    <t xml:space="preserve"> F</t>
  </si>
  <si>
    <t>R5</t>
  </si>
  <si>
    <t>Repeat strings</t>
  </si>
  <si>
    <t>3-12</t>
  </si>
  <si>
    <t>3,8</t>
  </si>
  <si>
    <t>F=500</t>
  </si>
  <si>
    <t>F=6000</t>
  </si>
  <si>
    <t>Vary amount of extrusion</t>
  </si>
  <si>
    <t>String Calibration</t>
  </si>
  <si>
    <t>Save time: 27/07/2020 09:05:06</t>
  </si>
  <si>
    <t>G1 E</t>
  </si>
  <si>
    <t>(0.5+0.5*COS(((REPval/50)*(2*PI()))-PI()))*2</t>
  </si>
  <si>
    <t>Box</t>
  </si>
  <si>
    <t>Save time: 27/07/2020 09:40:25</t>
  </si>
  <si>
    <t>(0.5+0.5*COS(((REPval/150)*(2*PI()))-PI()))*3</t>
  </si>
  <si>
    <t>Extend brindge lines</t>
  </si>
  <si>
    <t>Fluctuate diameter</t>
  </si>
  <si>
    <t>Deviate around components</t>
  </si>
  <si>
    <t>Twist first section</t>
  </si>
  <si>
    <t>Twist second section</t>
  </si>
  <si>
    <t>Twist third section</t>
  </si>
  <si>
    <t>Repeate for many layers</t>
  </si>
  <si>
    <t>Line across</t>
  </si>
  <si>
    <t>Outer tube</t>
  </si>
  <si>
    <t>New Design</t>
  </si>
  <si>
    <t>Save time: 09/09/2020 15:56:09</t>
  </si>
  <si>
    <t>MyDesigns</t>
  </si>
  <si>
    <t>MyFirstDesign_v01</t>
  </si>
  <si>
    <t>Select a cell in this row and click the "Add Feature" button to begin your design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</si>
</sst>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23" x14ac:knownFonts="1">
    <font>
      <sz val="11"/>
      <color theme="1"/>
      <name val="Calibri"/>
      <family val="2"/>
      <scheme val="minor"/>
    </font>
    <font>
      <sz val="11"/>
      <color rgb="FFFF0000"/>
      <name val="Calibri"/>
      <family val="2"/>
      <scheme val="minor"/>
    </font>
    <font>
      <sz val="11"/>
      <color rgb="FF0070C0"/>
      <name val="Calibri"/>
      <family val="2"/>
      <scheme val="minor"/>
    </font>
    <font>
      <i/>
      <sz val="11"/>
      <color theme="1"/>
      <name val="Calibri"/>
      <family val="2"/>
      <scheme val="minor"/>
    </font>
    <font>
      <sz val="11"/>
      <name val="Calibri"/>
      <family val="2"/>
      <scheme val="minor"/>
    </font>
    <font>
      <b/>
      <sz val="11"/>
      <color theme="1"/>
      <name val="Calibri"/>
      <family val="2"/>
      <scheme val="minor"/>
    </font>
    <font>
      <i/>
      <sz val="11"/>
      <color rgb="FF0070C0"/>
      <name val="Calibri"/>
      <family val="2"/>
      <scheme val="minor"/>
    </font>
    <font>
      <sz val="9"/>
      <color indexed="81"/>
      <name val="Tahoma"/>
      <family val="2"/>
    </font>
    <font>
      <b/>
      <sz val="9"/>
      <color indexed="81"/>
      <name val="Tahoma"/>
      <family val="2"/>
    </font>
    <font>
      <sz val="8"/>
      <name val="Calibri"/>
      <family val="2"/>
      <scheme val="minor"/>
    </font>
    <font>
      <u/>
      <sz val="11"/>
      <color theme="10"/>
      <name val="Calibri"/>
      <family val="2"/>
      <scheme val="minor"/>
    </font>
    <font>
      <i/>
      <sz val="11"/>
      <name val="Calibri"/>
      <family val="2"/>
      <scheme val="minor"/>
    </font>
    <font>
      <sz val="11"/>
      <color rgb="FF7030A0"/>
      <name val="Calibri"/>
      <family val="2"/>
      <scheme val="minor"/>
    </font>
    <font>
      <b/>
      <sz val="11"/>
      <color rgb="FF7030A0"/>
      <name val="Calibri"/>
      <family val="2"/>
      <scheme val="minor"/>
    </font>
    <font>
      <i/>
      <sz val="11"/>
      <color rgb="FF7030A0"/>
      <name val="Calibri"/>
      <family val="2"/>
      <scheme val="minor"/>
    </font>
    <font>
      <i/>
      <sz val="11"/>
      <color rgb="FF00B050"/>
      <name val="Calibri"/>
      <family val="2"/>
      <scheme val="minor"/>
    </font>
    <font>
      <b/>
      <sz val="11"/>
      <name val="Calibri"/>
      <family val="2"/>
      <scheme val="minor"/>
    </font>
    <font>
      <b/>
      <sz val="11"/>
      <name val="Franklin Gothic Demi Cond"/>
      <family val="2"/>
    </font>
    <font>
      <i/>
      <sz val="11"/>
      <color rgb="FFC00000"/>
      <name val="Calibri"/>
      <family val="2"/>
      <scheme val="minor"/>
    </font>
    <font>
      <sz val="11"/>
      <color theme="5" tint="-0.249977111117893"/>
      <name val="Calibri"/>
      <family val="2"/>
      <scheme val="minor"/>
    </font>
    <font>
      <sz val="11"/>
      <color rgb="FF00B050"/>
      <name val="Calibri"/>
      <family val="2"/>
      <scheme val="minor"/>
    </font>
    <font>
      <sz val="11"/>
      <color rgb="FF00B0F0"/>
      <name val="Calibri"/>
      <family val="2"/>
      <scheme val="minor"/>
    </font>
    <font>
      <sz val="24"/>
      <color theme="1"/>
      <name val="Calibri"/>
      <family val="2"/>
      <scheme val="minor"/>
    </font>
  </fonts>
  <fills count="18">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rgb="FF00B050"/>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59999389629810485"/>
        <bgColor indexed="64"/>
      </patternFill>
    </fill>
  </fills>
  <borders count="3">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s>
  <cellStyleXfs count="2">
    <xf numFmtId="0" fontId="0" fillId="0" borderId="0"/>
    <xf numFmtId="0" fontId="10" fillId="0" borderId="0" applyNumberFormat="0" applyFill="0" applyBorder="0" applyAlignment="0" applyProtection="0"/>
  </cellStyleXfs>
  <cellXfs count="123">
    <xf numFmtId="0" fontId="0" fillId="0" borderId="0" xfId="0"/>
    <xf numFmtId="0" fontId="2" fillId="0" borderId="0" xfId="0" applyFont="1"/>
    <xf numFmtId="0" fontId="0" fillId="2" borderId="1" xfId="0" applyFill="1" applyBorder="1"/>
    <xf numFmtId="0" fontId="0" fillId="3" borderId="1" xfId="0" applyFill="1" applyBorder="1"/>
    <xf numFmtId="0" fontId="0" fillId="4" borderId="0" xfId="0" applyFill="1"/>
    <xf numFmtId="0" fontId="4" fillId="3" borderId="1" xfId="0" applyFont="1" applyFill="1" applyBorder="1"/>
    <xf numFmtId="0" fontId="0" fillId="5" borderId="0" xfId="0" applyFill="1"/>
    <xf numFmtId="0" fontId="0" fillId="6" borderId="0" xfId="0" applyFill="1"/>
    <xf numFmtId="0" fontId="0" fillId="7" borderId="1" xfId="0" applyFill="1" applyBorder="1"/>
    <xf numFmtId="0" fontId="0" fillId="7" borderId="0" xfId="0" applyFill="1"/>
    <xf numFmtId="0" fontId="0" fillId="8" borderId="1" xfId="0" applyFill="1" applyBorder="1"/>
    <xf numFmtId="0" fontId="0" fillId="8" borderId="0" xfId="0" applyFill="1"/>
    <xf numFmtId="0" fontId="0" fillId="9" borderId="1" xfId="0" applyFill="1" applyBorder="1"/>
    <xf numFmtId="0" fontId="0" fillId="9" borderId="0" xfId="0" applyFill="1"/>
    <xf numFmtId="0" fontId="0" fillId="10" borderId="1" xfId="0" applyFill="1" applyBorder="1"/>
    <xf numFmtId="0" fontId="0" fillId="11" borderId="1" xfId="0" applyFill="1" applyBorder="1"/>
    <xf numFmtId="0" fontId="0" fillId="11" borderId="0" xfId="0" applyFill="1"/>
    <xf numFmtId="0" fontId="0" fillId="12" borderId="0" xfId="0" applyFill="1"/>
    <xf numFmtId="49" fontId="0" fillId="2" borderId="1" xfId="0" applyNumberFormat="1" applyFill="1" applyBorder="1"/>
    <xf numFmtId="49" fontId="0" fillId="13" borderId="1" xfId="0" applyNumberFormat="1" applyFill="1" applyBorder="1"/>
    <xf numFmtId="0" fontId="0" fillId="2" borderId="1" xfId="0" applyNumberFormat="1" applyFill="1" applyBorder="1"/>
    <xf numFmtId="0" fontId="0" fillId="4" borderId="1" xfId="0" applyNumberFormat="1" applyFill="1" applyBorder="1"/>
    <xf numFmtId="49" fontId="0" fillId="6" borderId="1" xfId="0" applyNumberFormat="1" applyFill="1" applyBorder="1"/>
    <xf numFmtId="0" fontId="0" fillId="6" borderId="1" xfId="0" applyNumberFormat="1" applyFill="1" applyBorder="1"/>
    <xf numFmtId="0" fontId="0" fillId="13" borderId="0" xfId="0" applyFill="1"/>
    <xf numFmtId="49" fontId="0" fillId="11" borderId="1" xfId="0" applyNumberFormat="1" applyFill="1" applyBorder="1"/>
    <xf numFmtId="0" fontId="0" fillId="13" borderId="1" xfId="0" applyNumberFormat="1" applyFill="1" applyBorder="1"/>
    <xf numFmtId="0" fontId="0" fillId="11" borderId="1" xfId="0" applyNumberFormat="1" applyFill="1" applyBorder="1"/>
    <xf numFmtId="0" fontId="0" fillId="5" borderId="1" xfId="0" applyNumberFormat="1" applyFill="1" applyBorder="1"/>
    <xf numFmtId="0" fontId="0" fillId="0" borderId="0" xfId="0" applyNumberFormat="1"/>
    <xf numFmtId="0" fontId="2" fillId="0" borderId="0" xfId="0" applyNumberFormat="1" applyFont="1"/>
    <xf numFmtId="0" fontId="1" fillId="0" borderId="0" xfId="0" applyNumberFormat="1" applyFont="1" applyAlignment="1"/>
    <xf numFmtId="0" fontId="2" fillId="0" borderId="0" xfId="0" applyNumberFormat="1" applyFont="1" applyAlignment="1"/>
    <xf numFmtId="0" fontId="0" fillId="0" borderId="0" xfId="0" applyNumberFormat="1" applyAlignment="1"/>
    <xf numFmtId="0" fontId="1" fillId="0" borderId="0" xfId="0" applyNumberFormat="1" applyFont="1"/>
    <xf numFmtId="0" fontId="0" fillId="7" borderId="1" xfId="0" applyNumberFormat="1" applyFill="1" applyBorder="1"/>
    <xf numFmtId="16" fontId="0" fillId="7" borderId="1" xfId="0" applyNumberFormat="1" applyFill="1" applyBorder="1"/>
    <xf numFmtId="0" fontId="0" fillId="12" borderId="1" xfId="0" applyNumberFormat="1" applyFill="1" applyBorder="1"/>
    <xf numFmtId="16" fontId="0" fillId="12" borderId="1" xfId="0" applyNumberFormat="1" applyFill="1" applyBorder="1"/>
    <xf numFmtId="16" fontId="0" fillId="11" borderId="1" xfId="0" applyNumberFormat="1" applyFill="1" applyBorder="1"/>
    <xf numFmtId="49" fontId="5" fillId="2" borderId="1" xfId="0" applyNumberFormat="1" applyFont="1" applyFill="1" applyBorder="1"/>
    <xf numFmtId="0" fontId="5" fillId="2" borderId="1" xfId="0" applyNumberFormat="1" applyFont="1" applyFill="1" applyBorder="1"/>
    <xf numFmtId="0" fontId="0" fillId="8" borderId="1" xfId="0" applyNumberFormat="1" applyFill="1" applyBorder="1"/>
    <xf numFmtId="0" fontId="0" fillId="10" borderId="1" xfId="0" applyNumberFormat="1" applyFill="1" applyBorder="1"/>
    <xf numFmtId="0" fontId="2" fillId="0" borderId="0" xfId="0" applyNumberFormat="1" applyFont="1" applyAlignment="1">
      <alignment vertical="center"/>
    </xf>
    <xf numFmtId="0" fontId="0" fillId="3" borderId="0" xfId="0" applyFill="1"/>
    <xf numFmtId="0" fontId="10" fillId="2" borderId="1" xfId="1" applyNumberFormat="1" applyFill="1" applyBorder="1"/>
    <xf numFmtId="49" fontId="0" fillId="8" borderId="1" xfId="0" applyNumberFormat="1" applyFill="1" applyBorder="1"/>
    <xf numFmtId="164" fontId="0" fillId="0" borderId="0" xfId="0" applyNumberFormat="1"/>
    <xf numFmtId="49" fontId="0" fillId="3" borderId="1" xfId="0" applyNumberFormat="1" applyFill="1" applyBorder="1"/>
    <xf numFmtId="0" fontId="0" fillId="14" borderId="1" xfId="0" applyFill="1" applyBorder="1"/>
    <xf numFmtId="49" fontId="0" fillId="14" borderId="1" xfId="0" applyNumberFormat="1" applyFill="1" applyBorder="1"/>
    <xf numFmtId="0" fontId="12" fillId="0" borderId="0" xfId="0" applyNumberFormat="1" applyFont="1"/>
    <xf numFmtId="0" fontId="12" fillId="0" borderId="0" xfId="0" applyNumberFormat="1" applyFont="1" applyAlignment="1">
      <alignment wrapText="1"/>
    </xf>
    <xf numFmtId="0" fontId="13" fillId="0" borderId="0" xfId="0" applyNumberFormat="1" applyFont="1"/>
    <xf numFmtId="0" fontId="14" fillId="0" borderId="0" xfId="0" applyNumberFormat="1" applyFont="1"/>
    <xf numFmtId="0" fontId="6" fillId="0" borderId="0" xfId="0" applyNumberFormat="1" applyFont="1"/>
    <xf numFmtId="0" fontId="12" fillId="0" borderId="0" xfId="0" applyNumberFormat="1" applyFont="1" applyAlignment="1"/>
    <xf numFmtId="0" fontId="18" fillId="3" borderId="1" xfId="0" applyFont="1" applyFill="1" applyBorder="1"/>
    <xf numFmtId="0" fontId="5" fillId="2" borderId="1" xfId="0" applyFont="1" applyFill="1" applyBorder="1"/>
    <xf numFmtId="0" fontId="0" fillId="14" borderId="0" xfId="0" applyFill="1"/>
    <xf numFmtId="49" fontId="0" fillId="0" borderId="0" xfId="0" applyNumberFormat="1"/>
    <xf numFmtId="0" fontId="11" fillId="0" borderId="0" xfId="0" applyNumberFormat="1" applyFont="1" applyAlignment="1">
      <alignment wrapText="1"/>
    </xf>
    <xf numFmtId="0" fontId="6" fillId="0" borderId="0" xfId="0" applyFont="1"/>
    <xf numFmtId="0" fontId="19" fillId="0" borderId="0" xfId="0" applyNumberFormat="1" applyFont="1"/>
    <xf numFmtId="0" fontId="19" fillId="0" borderId="0" xfId="0" applyFont="1"/>
    <xf numFmtId="0" fontId="19" fillId="0" borderId="0" xfId="0" applyNumberFormat="1" applyFont="1" applyAlignment="1"/>
    <xf numFmtId="0" fontId="15" fillId="0" borderId="0" xfId="0" applyNumberFormat="1" applyFont="1" applyAlignment="1">
      <alignment wrapText="1"/>
    </xf>
    <xf numFmtId="0" fontId="6" fillId="0" borderId="0" xfId="0" applyNumberFormat="1" applyFont="1" applyAlignment="1"/>
    <xf numFmtId="0" fontId="14" fillId="0" borderId="0" xfId="0" applyNumberFormat="1" applyFont="1" applyAlignment="1"/>
    <xf numFmtId="0" fontId="20" fillId="0" borderId="0" xfId="0" applyNumberFormat="1" applyFont="1"/>
    <xf numFmtId="0" fontId="21" fillId="0" borderId="0" xfId="0" applyNumberFormat="1" applyFont="1"/>
    <xf numFmtId="49" fontId="0" fillId="7" borderId="1" xfId="0" applyNumberFormat="1" applyFill="1" applyBorder="1"/>
    <xf numFmtId="49" fontId="5" fillId="0" borderId="0" xfId="0" applyNumberFormat="1" applyFont="1"/>
    <xf numFmtId="49" fontId="0" fillId="0" borderId="0" xfId="0" applyNumberFormat="1" applyAlignment="1">
      <alignment wrapText="1"/>
    </xf>
    <xf numFmtId="2" fontId="0" fillId="8" borderId="1" xfId="0" applyNumberFormat="1" applyFill="1" applyBorder="1"/>
    <xf numFmtId="2" fontId="0" fillId="9" borderId="1" xfId="0" applyNumberFormat="1" applyFill="1" applyBorder="1"/>
    <xf numFmtId="0" fontId="0" fillId="15" borderId="1" xfId="0" applyFill="1" applyBorder="1"/>
    <xf numFmtId="0" fontId="22" fillId="0" borderId="0" xfId="0" applyNumberFormat="1" applyFont="1"/>
    <xf numFmtId="0" fontId="3" fillId="15" borderId="1" xfId="0" applyFont="1" applyFill="1" applyBorder="1"/>
    <xf numFmtId="0" fontId="4" fillId="3" borderId="2" xfId="0" applyFont="1" applyFill="1" applyBorder="1"/>
    <xf numFmtId="0" fontId="0" fillId="15" borderId="0" xfId="0" applyFill="1" applyBorder="1"/>
    <xf numFmtId="0" fontId="0" fillId="0" borderId="0" xfId="0" applyNumberFormat="1" applyProtection="1">
      <protection locked="0"/>
    </xf>
    <xf numFmtId="0" fontId="0" fillId="0" borderId="0" xfId="0" applyProtection="1">
      <protection locked="0"/>
    </xf>
    <xf numFmtId="0" fontId="1" fillId="0" borderId="0" xfId="0" applyNumberFormat="1" applyFont="1" applyProtection="1">
      <protection locked="0"/>
    </xf>
    <xf numFmtId="0" fontId="4" fillId="0" borderId="0" xfId="0" applyNumberFormat="1" applyFont="1" applyProtection="1">
      <protection locked="0"/>
    </xf>
    <xf numFmtId="0" fontId="11" fillId="0" borderId="0" xfId="0" applyNumberFormat="1" applyFont="1" applyProtection="1">
      <protection locked="0"/>
    </xf>
    <xf numFmtId="0" fontId="0" fillId="0" borderId="0" xfId="0" applyNumberFormat="1" applyBorder="1" applyProtection="1">
      <protection locked="0"/>
    </xf>
    <xf numFmtId="0" fontId="0" fillId="0" borderId="0" xfId="0" applyBorder="1" applyProtection="1">
      <protection locked="0"/>
    </xf>
    <xf numFmtId="0" fontId="1" fillId="0" borderId="0" xfId="0" applyNumberFormat="1" applyFont="1" applyBorder="1" applyProtection="1">
      <protection locked="0"/>
    </xf>
    <xf numFmtId="0" fontId="0" fillId="0" borderId="0" xfId="0" applyNumberFormat="1" applyBorder="1" applyAlignment="1" applyProtection="1">
      <alignment wrapText="1"/>
      <protection locked="0"/>
    </xf>
    <xf numFmtId="0" fontId="4" fillId="0" borderId="0" xfId="0" applyFont="1"/>
    <xf numFmtId="0" fontId="11" fillId="3" borderId="1" xfId="0" applyFont="1" applyFill="1" applyBorder="1"/>
    <xf numFmtId="0" fontId="4" fillId="0" borderId="0" xfId="0" applyNumberFormat="1" applyFont="1"/>
    <xf numFmtId="0" fontId="4" fillId="15" borderId="1" xfId="0" applyFont="1" applyFill="1" applyBorder="1"/>
    <xf numFmtId="0" fontId="0" fillId="0" borderId="0" xfId="0" applyNumberFormat="1" applyAlignment="1" applyProtection="1">
      <alignment horizontal="left"/>
      <protection locked="0"/>
    </xf>
    <xf numFmtId="0" fontId="0" fillId="0" borderId="0" xfId="0" applyNumberFormat="1" applyAlignment="1" applyProtection="1">
      <alignment horizontal="right"/>
      <protection locked="0"/>
    </xf>
    <xf numFmtId="0" fontId="5" fillId="3" borderId="1" xfId="0" applyFont="1" applyFill="1" applyBorder="1"/>
    <xf numFmtId="0" fontId="5" fillId="15" borderId="1" xfId="0" applyFont="1" applyFill="1" applyBorder="1"/>
    <xf numFmtId="0" fontId="16" fillId="15" borderId="1" xfId="0" applyFont="1" applyFill="1" applyBorder="1"/>
    <xf numFmtId="0" fontId="0" fillId="2" borderId="1" xfId="0" quotePrefix="1" applyFill="1" applyBorder="1"/>
    <xf numFmtId="0" fontId="0" fillId="7" borderId="1" xfId="0" quotePrefix="1" applyFill="1" applyBorder="1"/>
    <xf numFmtId="17" fontId="0" fillId="2" borderId="1" xfId="0" quotePrefix="1" applyNumberFormat="1" applyFill="1" applyBorder="1"/>
    <xf numFmtId="0" fontId="0" fillId="16" borderId="1" xfId="0" applyFill="1" applyBorder="1"/>
    <xf numFmtId="0" fontId="13" fillId="3" borderId="1" xfId="0" applyFont="1" applyFill="1" applyBorder="1"/>
    <xf numFmtId="0" fontId="0" fillId="3" borderId="1" xfId="0" quotePrefix="1" applyFill="1" applyBorder="1"/>
    <xf numFmtId="0" fontId="0" fillId="8" borderId="1" xfId="0" quotePrefix="1" applyFill="1" applyBorder="1"/>
    <xf numFmtId="0" fontId="13" fillId="10" borderId="1" xfId="0" applyFont="1" applyFill="1" applyBorder="1"/>
    <xf numFmtId="0" fontId="0" fillId="17" borderId="1" xfId="0" applyFill="1" applyBorder="1"/>
    <xf numFmtId="0" fontId="13" fillId="17" borderId="1" xfId="0" applyFont="1" applyFill="1" applyBorder="1"/>
    <xf numFmtId="0" fontId="0" fillId="17" borderId="1" xfId="0" quotePrefix="1" applyFill="1" applyBorder="1"/>
    <xf numFmtId="0" fontId="13" fillId="15" borderId="1" xfId="0" applyFont="1" applyFill="1" applyBorder="1"/>
    <xf numFmtId="0" fontId="0" fillId="15" borderId="1" xfId="0" quotePrefix="1" applyFill="1" applyBorder="1"/>
    <xf numFmtId="0" fontId="17" fillId="0" borderId="0" xfId="0" applyNumberFormat="1" applyFont="1" applyBorder="1" applyAlignment="1" applyProtection="1">
      <alignment horizontal="left" wrapText="1"/>
      <protection locked="0"/>
    </xf>
    <xf numFmtId="0" fontId="16" fillId="0" borderId="0" xfId="0" applyNumberFormat="1" applyFont="1" applyBorder="1" applyAlignment="1" applyProtection="1">
      <alignment horizontal="left" wrapText="1"/>
      <protection locked="0"/>
    </xf>
    <xf numFmtId="0" fontId="0" fillId="2" borderId="0" xfId="0" applyNumberFormat="1" applyFill="1"/>
    <xf numFmtId="0" fontId="0" fillId="2" borderId="0" xfId="0" applyNumberFormat="1" applyFill="1" applyBorder="1"/>
    <xf numFmtId="0" fontId="15" fillId="0" borderId="0" xfId="0" applyNumberFormat="1" applyFont="1" applyAlignment="1">
      <alignment horizontal="left" wrapText="1"/>
    </xf>
    <xf numFmtId="0" fontId="15" fillId="0" borderId="0" xfId="0" applyNumberFormat="1" applyFont="1" applyAlignment="1">
      <alignment horizontal="left"/>
    </xf>
    <xf numFmtId="0" fontId="12" fillId="0" borderId="0" xfId="0" applyNumberFormat="1" applyFont="1" applyAlignment="1">
      <alignment horizontal="left" wrapText="1"/>
    </xf>
    <xf numFmtId="0" fontId="19" fillId="0" borderId="0" xfId="0" applyNumberFormat="1" applyFont="1" applyAlignment="1">
      <alignment horizontal="left" wrapText="1"/>
    </xf>
    <xf numFmtId="0" fontId="13" fillId="8" borderId="1" xfId="0" applyNumberFormat="1" applyFont="1" applyFill="1" applyBorder="1"/>
    <xf numFmtId="0" fontId="1" fillId="2" borderId="1" xfId="0" applyNumberFormat="1" applyFont="1" applyFill="1" applyBorder="1"/>
  </cellXfs>
  <cellStyles count="2">
    <cellStyle name="Hyperlink" xfId="1" builtinId="8"/>
    <cellStyle name="Normal" xfId="0" builtinId="0"/>
  </cellStyles>
  <dxfs count="6">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s>
  <tableStyles count="0" defaultTableStyle="TableStyleMedium2" defaultPivotStyle="PivotStyleLight16"/>
  <colors>
    <mruColors>
      <color rgb="FF000000"/>
      <color rgb="FFFF00FF"/>
      <color rgb="FF008000"/>
      <color rgb="FF00FF00"/>
      <color rgb="FF33CCCC"/>
      <color rgb="FF57257D"/>
      <color rgb="FF003399"/>
      <color rgb="FF000099"/>
      <color rgb="FF0066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www.fullcontrolgcode.com/" TargetMode="External"/><Relationship Id="rId1" Type="http://schemas.openxmlformats.org/officeDocument/2006/relationships/hyperlink" Target="#'Main Sheet'!A6"/><Relationship Id="rId6" Type="http://schemas.openxmlformats.org/officeDocument/2006/relationships/hyperlink" Target="mailto:info@FullControlGCODE.com" TargetMode="External"/><Relationship Id="rId5" Type="http://schemas.openxmlformats.org/officeDocument/2006/relationships/hyperlink" Target="https://github.com/AndyGlx/FullControl-GCODE-Designer" TargetMode="External"/><Relationship Id="rId4" Type="http://schemas.openxmlformats.org/officeDocument/2006/relationships/hyperlink" Target="http://www.FullControlGCODE.com" TargetMode="External"/></Relationships>
</file>

<file path=xl/drawings/drawing1.xml><?xml version="1.0" encoding="utf-8"?>
<xdr:wsDr xmlns:xdr="http://schemas.openxmlformats.org/drawingml/2006/spreadsheetDrawing" xmlns:a="http://schemas.openxmlformats.org/drawingml/2006/main">
  <xdr:twoCellAnchor>
    <xdr:from>
      <xdr:col>5</xdr:col>
      <xdr:colOff>533401</xdr:colOff>
      <xdr:row>0</xdr:row>
      <xdr:rowOff>239485</xdr:rowOff>
    </xdr:from>
    <xdr:to>
      <xdr:col>7</xdr:col>
      <xdr:colOff>484927</xdr:colOff>
      <xdr:row>0</xdr:row>
      <xdr:rowOff>698172</xdr:rowOff>
    </xdr:to>
    <xdr:sp macro="[0]!GenerateModel.GenerateModel" textlink="">
      <xdr:nvSpPr>
        <xdr:cNvPr id="16" name="Flowchart: Alternate Process 15">
          <a:extLst>
            <a:ext uri="{FF2B5EF4-FFF2-40B4-BE49-F238E27FC236}">
              <a16:creationId xmlns:a16="http://schemas.microsoft.com/office/drawing/2014/main" id="{AA711334-625D-4AC9-A336-40C4F91E6E5D}"/>
            </a:ext>
          </a:extLst>
        </xdr:cNvPr>
        <xdr:cNvSpPr/>
      </xdr:nvSpPr>
      <xdr:spPr>
        <a:xfrm>
          <a:off x="4942115" y="239485"/>
          <a:ext cx="2226641" cy="458687"/>
        </a:xfrm>
        <a:prstGeom prst="flowChartAlternateProcess">
          <a:avLst/>
        </a:prstGeom>
        <a:ln/>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54000" rtlCol="0" anchor="ctr"/>
        <a:lstStyle/>
        <a:p>
          <a:pPr algn="ctr"/>
          <a:r>
            <a:rPr lang="en-GB" sz="1600" b="1"/>
            <a:t>Generate GCODE</a:t>
          </a:r>
        </a:p>
      </xdr:txBody>
    </xdr:sp>
    <xdr:clientData/>
  </xdr:twoCellAnchor>
  <xdr:twoCellAnchor>
    <xdr:from>
      <xdr:col>7</xdr:col>
      <xdr:colOff>683888</xdr:colOff>
      <xdr:row>0</xdr:row>
      <xdr:rowOff>239485</xdr:rowOff>
    </xdr:from>
    <xdr:to>
      <xdr:col>10</xdr:col>
      <xdr:colOff>414010</xdr:colOff>
      <xdr:row>0</xdr:row>
      <xdr:rowOff>698172</xdr:rowOff>
    </xdr:to>
    <xdr:sp macro="[0]!SaveDesign" textlink="">
      <xdr:nvSpPr>
        <xdr:cNvPr id="17" name="Flowchart: Alternate Process 16">
          <a:extLst>
            <a:ext uri="{FF2B5EF4-FFF2-40B4-BE49-F238E27FC236}">
              <a16:creationId xmlns:a16="http://schemas.microsoft.com/office/drawing/2014/main" id="{50E71F22-722D-428D-85A3-595B201F10C5}"/>
            </a:ext>
          </a:extLst>
        </xdr:cNvPr>
        <xdr:cNvSpPr/>
      </xdr:nvSpPr>
      <xdr:spPr>
        <a:xfrm>
          <a:off x="7367717" y="239485"/>
          <a:ext cx="2212064" cy="458687"/>
        </a:xfrm>
        <a:prstGeom prst="flowChartAlternateProcess">
          <a:avLst/>
        </a:prstGeom>
        <a:ln/>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Save Design</a:t>
          </a:r>
        </a:p>
      </xdr:txBody>
    </xdr:sp>
    <xdr:clientData/>
  </xdr:twoCellAnchor>
  <xdr:twoCellAnchor>
    <xdr:from>
      <xdr:col>7</xdr:col>
      <xdr:colOff>682801</xdr:colOff>
      <xdr:row>0</xdr:row>
      <xdr:rowOff>823392</xdr:rowOff>
    </xdr:from>
    <xdr:to>
      <xdr:col>10</xdr:col>
      <xdr:colOff>424512</xdr:colOff>
      <xdr:row>0</xdr:row>
      <xdr:rowOff>1282079</xdr:rowOff>
    </xdr:to>
    <xdr:sp macro="[0]!LoadDesign" textlink="">
      <xdr:nvSpPr>
        <xdr:cNvPr id="18" name="Flowchart: Alternate Process 17">
          <a:extLst>
            <a:ext uri="{FF2B5EF4-FFF2-40B4-BE49-F238E27FC236}">
              <a16:creationId xmlns:a16="http://schemas.microsoft.com/office/drawing/2014/main" id="{ADFADFB5-C6DB-4CC1-8F75-72FB111C581C}"/>
            </a:ext>
          </a:extLst>
        </xdr:cNvPr>
        <xdr:cNvSpPr/>
      </xdr:nvSpPr>
      <xdr:spPr>
        <a:xfrm>
          <a:off x="7366630" y="823392"/>
          <a:ext cx="2223653" cy="458687"/>
        </a:xfrm>
        <a:prstGeom prst="flowChartAlternateProcess">
          <a:avLst/>
        </a:prstGeom>
        <a:ln/>
        <a:scene3d>
          <a:camera prst="orthographicFront"/>
          <a:lightRig rig="threePt" dir="t"/>
        </a:scene3d>
        <a:sp3d>
          <a:bevelT/>
        </a:sp3d>
      </xdr:spPr>
      <xdr:style>
        <a:lnRef idx="1">
          <a:schemeClr val="accent5"/>
        </a:lnRef>
        <a:fillRef idx="2">
          <a:schemeClr val="accent5"/>
        </a:fillRef>
        <a:effectRef idx="1">
          <a:schemeClr val="accent5"/>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Load Design</a:t>
          </a:r>
        </a:p>
      </xdr:txBody>
    </xdr:sp>
    <xdr:clientData/>
  </xdr:twoCellAnchor>
  <xdr:twoCellAnchor>
    <xdr:from>
      <xdr:col>10</xdr:col>
      <xdr:colOff>603682</xdr:colOff>
      <xdr:row>0</xdr:row>
      <xdr:rowOff>239485</xdr:rowOff>
    </xdr:from>
    <xdr:to>
      <xdr:col>14</xdr:col>
      <xdr:colOff>250594</xdr:colOff>
      <xdr:row>0</xdr:row>
      <xdr:rowOff>698172</xdr:rowOff>
    </xdr:to>
    <xdr:sp macro="[0]!AddFeature.AddFeature" textlink="">
      <xdr:nvSpPr>
        <xdr:cNvPr id="19" name="Flowchart: Alternate Process 18">
          <a:extLst>
            <a:ext uri="{FF2B5EF4-FFF2-40B4-BE49-F238E27FC236}">
              <a16:creationId xmlns:a16="http://schemas.microsoft.com/office/drawing/2014/main" id="{E5DA8372-E9FA-4762-B131-A13985012E35}"/>
            </a:ext>
          </a:extLst>
        </xdr:cNvPr>
        <xdr:cNvSpPr/>
      </xdr:nvSpPr>
      <xdr:spPr>
        <a:xfrm>
          <a:off x="9769453" y="239485"/>
          <a:ext cx="2956170" cy="458687"/>
        </a:xfrm>
        <a:prstGeom prst="flowChartAlternateProcess">
          <a:avLst/>
        </a:prstGeom>
        <a:solidFill>
          <a:schemeClr val="accent6">
            <a:lumMod val="60000"/>
            <a:lumOff val="40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Add Feature </a:t>
          </a:r>
          <a:r>
            <a:rPr lang="en-GB" sz="1400" b="1">
              <a:solidFill>
                <a:schemeClr val="dk1"/>
              </a:solidFill>
              <a:latin typeface="+mn-lt"/>
              <a:ea typeface="+mn-ea"/>
              <a:cs typeface="+mn-cs"/>
            </a:rPr>
            <a:t>(to selected row)</a:t>
          </a:r>
          <a:endParaRPr lang="en-GB" sz="1600" b="1">
            <a:solidFill>
              <a:schemeClr val="dk1"/>
            </a:solidFill>
            <a:latin typeface="+mn-lt"/>
            <a:ea typeface="+mn-ea"/>
            <a:cs typeface="+mn-cs"/>
          </a:endParaRPr>
        </a:p>
      </xdr:txBody>
    </xdr:sp>
    <xdr:clientData/>
  </xdr:twoCellAnchor>
  <xdr:twoCellAnchor>
    <xdr:from>
      <xdr:col>10</xdr:col>
      <xdr:colOff>610212</xdr:colOff>
      <xdr:row>0</xdr:row>
      <xdr:rowOff>822959</xdr:rowOff>
    </xdr:from>
    <xdr:to>
      <xdr:col>14</xdr:col>
      <xdr:colOff>243194</xdr:colOff>
      <xdr:row>0</xdr:row>
      <xdr:rowOff>1281646</xdr:rowOff>
    </xdr:to>
    <xdr:sp macro="[0]!SkipStopUse.SkipStopUse" textlink="">
      <xdr:nvSpPr>
        <xdr:cNvPr id="20" name="Flowchart: Alternate Process 19">
          <a:extLst>
            <a:ext uri="{FF2B5EF4-FFF2-40B4-BE49-F238E27FC236}">
              <a16:creationId xmlns:a16="http://schemas.microsoft.com/office/drawing/2014/main" id="{2CC47DD6-81E0-4905-AA77-0FEC555F5891}"/>
            </a:ext>
          </a:extLst>
        </xdr:cNvPr>
        <xdr:cNvSpPr/>
      </xdr:nvSpPr>
      <xdr:spPr>
        <a:xfrm>
          <a:off x="9775983" y="822959"/>
          <a:ext cx="2942240" cy="458687"/>
        </a:xfrm>
        <a:prstGeom prst="flowChartAlternateProcess">
          <a:avLst/>
        </a:prstGeom>
        <a:solidFill>
          <a:schemeClr val="accent3">
            <a:lumMod val="60000"/>
            <a:lumOff val="40000"/>
          </a:schemeClr>
        </a:solidFill>
        <a:ln>
          <a:solidFill>
            <a:schemeClr val="accent3">
              <a:lumMod val="75000"/>
            </a:schemeClr>
          </a:solidFill>
        </a:ln>
        <a:scene3d>
          <a:camera prst="orthographicFront"/>
          <a:lightRig rig="threePt" dir="t"/>
        </a:scene3d>
        <a:sp3d>
          <a:bevelT/>
        </a:sp3d>
      </xdr:spPr>
      <xdr:style>
        <a:lnRef idx="1">
          <a:schemeClr val="accent6"/>
        </a:lnRef>
        <a:fillRef idx="2">
          <a:schemeClr val="accent6"/>
        </a:fillRef>
        <a:effectRef idx="1">
          <a:schemeClr val="accent6"/>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Skip/Stop/Use </a:t>
          </a:r>
          <a:r>
            <a:rPr lang="en-GB" sz="1400" b="1">
              <a:solidFill>
                <a:schemeClr val="dk1"/>
              </a:solidFill>
              <a:latin typeface="+mn-lt"/>
              <a:ea typeface="+mn-ea"/>
              <a:cs typeface="+mn-cs"/>
            </a:rPr>
            <a:t>(selected rows)</a:t>
          </a:r>
          <a:endParaRPr lang="en-GB" sz="1600" b="1">
            <a:solidFill>
              <a:schemeClr val="dk1"/>
            </a:solidFill>
            <a:latin typeface="+mn-lt"/>
            <a:ea typeface="+mn-ea"/>
            <a:cs typeface="+mn-cs"/>
          </a:endParaRPr>
        </a:p>
      </xdr:txBody>
    </xdr:sp>
    <xdr:clientData/>
  </xdr:twoCellAnchor>
  <xdr:twoCellAnchor>
    <xdr:from>
      <xdr:col>14</xdr:col>
      <xdr:colOff>438693</xdr:colOff>
      <xdr:row>0</xdr:row>
      <xdr:rowOff>239485</xdr:rowOff>
    </xdr:from>
    <xdr:to>
      <xdr:col>16</xdr:col>
      <xdr:colOff>1742126</xdr:colOff>
      <xdr:row>0</xdr:row>
      <xdr:rowOff>698172</xdr:rowOff>
    </xdr:to>
    <xdr:sp macro="[0]!SetParameterCellNames" textlink="">
      <xdr:nvSpPr>
        <xdr:cNvPr id="21" name="ParameterButton">
          <a:extLst>
            <a:ext uri="{FF2B5EF4-FFF2-40B4-BE49-F238E27FC236}">
              <a16:creationId xmlns:a16="http://schemas.microsoft.com/office/drawing/2014/main" id="{2ADCF1A7-CAF2-4EEF-B229-96338C667C98}"/>
            </a:ext>
          </a:extLst>
        </xdr:cNvPr>
        <xdr:cNvSpPr/>
      </xdr:nvSpPr>
      <xdr:spPr>
        <a:xfrm>
          <a:off x="12958353" y="239485"/>
          <a:ext cx="2964593" cy="458687"/>
        </a:xfrm>
        <a:prstGeom prst="flowChartAlternateProcess">
          <a:avLst/>
        </a:prstGeom>
        <a:ln/>
        <a:scene3d>
          <a:camera prst="orthographicFront"/>
          <a:lightRig rig="threePt" dir="t"/>
        </a:scene3d>
        <a:sp3d>
          <a:bevelT/>
        </a:sp3d>
      </xdr:spPr>
      <xdr:style>
        <a:lnRef idx="1">
          <a:schemeClr val="accent2"/>
        </a:lnRef>
        <a:fillRef idx="2">
          <a:schemeClr val="accent2"/>
        </a:fillRef>
        <a:effectRef idx="1">
          <a:schemeClr val="accent2"/>
        </a:effectRef>
        <a:fontRef idx="minor">
          <a:schemeClr val="dk1"/>
        </a:fontRef>
      </xdr:style>
      <xdr:txBody>
        <a:bodyPr vertOverflow="clip" horzOverflow="clip" lIns="0" tIns="0" rIns="0" bIns="54000" rtlCol="0" anchor="ctr"/>
        <a:lstStyle/>
        <a:p>
          <a:pPr marL="0" indent="0" algn="ctr"/>
          <a:r>
            <a:rPr lang="en-GB" sz="1600" b="1">
              <a:solidFill>
                <a:schemeClr val="dk1"/>
              </a:solidFill>
              <a:latin typeface="+mn-lt"/>
              <a:ea typeface="+mn-ea"/>
              <a:cs typeface="+mn-cs"/>
            </a:rPr>
            <a:t>Assign Parameter Names</a:t>
          </a:r>
        </a:p>
      </xdr:txBody>
    </xdr:sp>
    <xdr:clientData/>
  </xdr:twoCellAnchor>
  <xdr:twoCellAnchor>
    <xdr:from>
      <xdr:col>10</xdr:col>
      <xdr:colOff>207938</xdr:colOff>
      <xdr:row>0</xdr:row>
      <xdr:rowOff>296613</xdr:rowOff>
    </xdr:from>
    <xdr:to>
      <xdr:col>10</xdr:col>
      <xdr:colOff>333938</xdr:colOff>
      <xdr:row>0</xdr:row>
      <xdr:rowOff>422613</xdr:rowOff>
    </xdr:to>
    <xdr:sp macro="" textlink="">
      <xdr:nvSpPr>
        <xdr:cNvPr id="10" name="Oval 9">
          <a:hlinkClick xmlns:r="http://schemas.openxmlformats.org/officeDocument/2006/relationships" r:id="rId1" tooltip="Save design with the name in cell B6 to the worksheet named in cell D6"/>
          <a:extLst>
            <a:ext uri="{FF2B5EF4-FFF2-40B4-BE49-F238E27FC236}">
              <a16:creationId xmlns:a16="http://schemas.microsoft.com/office/drawing/2014/main" id="{7FB37B86-2E93-4DA4-8325-F482B4DC43A4}"/>
            </a:ext>
          </a:extLst>
        </xdr:cNvPr>
        <xdr:cNvSpPr/>
      </xdr:nvSpPr>
      <xdr:spPr>
        <a:xfrm>
          <a:off x="9391695"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7</xdr:col>
      <xdr:colOff>279376</xdr:colOff>
      <xdr:row>0</xdr:row>
      <xdr:rowOff>296613</xdr:rowOff>
    </xdr:from>
    <xdr:to>
      <xdr:col>7</xdr:col>
      <xdr:colOff>405376</xdr:colOff>
      <xdr:row>0</xdr:row>
      <xdr:rowOff>422613</xdr:rowOff>
    </xdr:to>
    <xdr:sp macro="" textlink="">
      <xdr:nvSpPr>
        <xdr:cNvPr id="22" name="Oval 21">
          <a:hlinkClick xmlns:r="http://schemas.openxmlformats.org/officeDocument/2006/relationships" r:id="rId1" tooltip="Generate GCODE for the design described in row 8 and below"/>
          <a:extLst>
            <a:ext uri="{FF2B5EF4-FFF2-40B4-BE49-F238E27FC236}">
              <a16:creationId xmlns:a16="http://schemas.microsoft.com/office/drawing/2014/main" id="{233BDF45-9D7A-429C-B668-3848222E2763}"/>
            </a:ext>
          </a:extLst>
        </xdr:cNvPr>
        <xdr:cNvSpPr/>
      </xdr:nvSpPr>
      <xdr:spPr>
        <a:xfrm>
          <a:off x="6978350"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296613</xdr:rowOff>
    </xdr:from>
    <xdr:to>
      <xdr:col>14</xdr:col>
      <xdr:colOff>167251</xdr:colOff>
      <xdr:row>0</xdr:row>
      <xdr:rowOff>422613</xdr:rowOff>
    </xdr:to>
    <xdr:sp macro="" textlink="">
      <xdr:nvSpPr>
        <xdr:cNvPr id="23" name="Oval 22">
          <a:hlinkClick xmlns:r="http://schemas.openxmlformats.org/officeDocument/2006/relationships" r:id="rId1" tooltip="A prompt will ask which feature to add - information about the parameters for that feature will be copied from the relevant row in the FeatParams worksheet into the selected row on this sheet"/>
          <a:extLst>
            <a:ext uri="{FF2B5EF4-FFF2-40B4-BE49-F238E27FC236}">
              <a16:creationId xmlns:a16="http://schemas.microsoft.com/office/drawing/2014/main" id="{D7C0D177-99C0-440E-A236-44F54F738251}"/>
            </a:ext>
          </a:extLst>
        </xdr:cNvPr>
        <xdr:cNvSpPr/>
      </xdr:nvSpPr>
      <xdr:spPr>
        <a:xfrm>
          <a:off x="12538051"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16</xdr:col>
      <xdr:colOff>1524666</xdr:colOff>
      <xdr:row>0</xdr:row>
      <xdr:rowOff>296613</xdr:rowOff>
    </xdr:from>
    <xdr:to>
      <xdr:col>16</xdr:col>
      <xdr:colOff>1650666</xdr:colOff>
      <xdr:row>0</xdr:row>
      <xdr:rowOff>422613</xdr:rowOff>
    </xdr:to>
    <xdr:sp macro="" textlink="">
      <xdr:nvSpPr>
        <xdr:cNvPr id="24" name="Oval 23">
          <a:hlinkClick xmlns:r="http://schemas.openxmlformats.org/officeDocument/2006/relationships" r:id="rId1" tooltip="Delete all parameters and replace with those listed below &quot;Parameter name&quot; and &quot;Parameter value&quot; on the right. Parameter names written in formulas remain. Some printer settings are also parameters (speeds and temperatures - see Excel's &quot;Name Manager&quot;)"/>
          <a:extLst>
            <a:ext uri="{FF2B5EF4-FFF2-40B4-BE49-F238E27FC236}">
              <a16:creationId xmlns:a16="http://schemas.microsoft.com/office/drawing/2014/main" id="{893621D1-55E4-4F8C-BB27-0C4564080F52}"/>
            </a:ext>
          </a:extLst>
        </xdr:cNvPr>
        <xdr:cNvSpPr/>
      </xdr:nvSpPr>
      <xdr:spPr>
        <a:xfrm>
          <a:off x="15677988" y="296613"/>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10</xdr:col>
      <xdr:colOff>207938</xdr:colOff>
      <xdr:row>0</xdr:row>
      <xdr:rowOff>875775</xdr:rowOff>
    </xdr:from>
    <xdr:to>
      <xdr:col>10</xdr:col>
      <xdr:colOff>333938</xdr:colOff>
      <xdr:row>0</xdr:row>
      <xdr:rowOff>1001775</xdr:rowOff>
    </xdr:to>
    <xdr:sp macro="" textlink="">
      <xdr:nvSpPr>
        <xdr:cNvPr id="25" name="Oval 24">
          <a:hlinkClick xmlns:r="http://schemas.openxmlformats.org/officeDocument/2006/relationships" r:id="rId1" tooltip="Load a saved design (a prompt will ask for the name of the worksheet where the design is saved and the name of the design)"/>
          <a:extLst>
            <a:ext uri="{FF2B5EF4-FFF2-40B4-BE49-F238E27FC236}">
              <a16:creationId xmlns:a16="http://schemas.microsoft.com/office/drawing/2014/main" id="{372A65E1-ABC7-4F10-9F5D-544753D9AE74}"/>
            </a:ext>
          </a:extLst>
        </xdr:cNvPr>
        <xdr:cNvSpPr/>
      </xdr:nvSpPr>
      <xdr:spPr>
        <a:xfrm>
          <a:off x="9391695"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14</xdr:col>
      <xdr:colOff>41251</xdr:colOff>
      <xdr:row>0</xdr:row>
      <xdr:rowOff>875775</xdr:rowOff>
    </xdr:from>
    <xdr:to>
      <xdr:col>14</xdr:col>
      <xdr:colOff>167251</xdr:colOff>
      <xdr:row>0</xdr:row>
      <xdr:rowOff>1001775</xdr:rowOff>
    </xdr:to>
    <xdr:sp macro="" textlink="">
      <xdr:nvSpPr>
        <xdr:cNvPr id="26" name="Oval 25">
          <a:hlinkClick xmlns:r="http://schemas.openxmlformats.org/officeDocument/2006/relationships" r:id="rId1" tooltip="Features in the rows of selected cells will be cycled between: (i) active, (ii) skipped (ignored during GCODE generation) and stopped (GCODE generation stops before the feature)"/>
          <a:extLst>
            <a:ext uri="{FF2B5EF4-FFF2-40B4-BE49-F238E27FC236}">
              <a16:creationId xmlns:a16="http://schemas.microsoft.com/office/drawing/2014/main" id="{FE671A86-F3DD-444E-A28A-504D92A99BC9}"/>
            </a:ext>
          </a:extLst>
        </xdr:cNvPr>
        <xdr:cNvSpPr/>
      </xdr:nvSpPr>
      <xdr:spPr>
        <a:xfrm>
          <a:off x="12538051" y="875775"/>
          <a:ext cx="126000" cy="126000"/>
        </a:xfrm>
        <a:prstGeom prst="ellipse">
          <a:avLst/>
        </a:prstGeom>
        <a:solidFill>
          <a:schemeClr val="bg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0"/>
        <a:lstStyle/>
        <a:p>
          <a:pPr algn="ctr"/>
          <a:r>
            <a:rPr lang="en-GB" sz="1000" i="0">
              <a:solidFill>
                <a:sysClr val="windowText" lastClr="000000"/>
              </a:solidFill>
            </a:rPr>
            <a:t>i</a:t>
          </a:r>
        </a:p>
      </xdr:txBody>
    </xdr:sp>
    <xdr:clientData/>
  </xdr:twoCellAnchor>
  <xdr:twoCellAnchor>
    <xdr:from>
      <xdr:col>0</xdr:col>
      <xdr:colOff>0</xdr:colOff>
      <xdr:row>0</xdr:row>
      <xdr:rowOff>0</xdr:rowOff>
    </xdr:from>
    <xdr:to>
      <xdr:col>21</xdr:col>
      <xdr:colOff>1</xdr:colOff>
      <xdr:row>3</xdr:row>
      <xdr:rowOff>95524</xdr:rowOff>
    </xdr:to>
    <xdr:grpSp>
      <xdr:nvGrpSpPr>
        <xdr:cNvPr id="33" name="Group 32">
          <a:extLst>
            <a:ext uri="{FF2B5EF4-FFF2-40B4-BE49-F238E27FC236}">
              <a16:creationId xmlns:a16="http://schemas.microsoft.com/office/drawing/2014/main" id="{3049DC13-50DD-4CAC-B071-6DAF68F4E6CA}"/>
            </a:ext>
          </a:extLst>
        </xdr:cNvPr>
        <xdr:cNvGrpSpPr/>
      </xdr:nvGrpSpPr>
      <xdr:grpSpPr>
        <a:xfrm>
          <a:off x="0" y="0"/>
          <a:ext cx="23398371" cy="2025372"/>
          <a:chOff x="0" y="0"/>
          <a:chExt cx="24003001" cy="1986917"/>
        </a:xfrm>
      </xdr:grpSpPr>
      <xdr:grpSp>
        <xdr:nvGrpSpPr>
          <xdr:cNvPr id="15" name="Group 14">
            <a:extLst>
              <a:ext uri="{FF2B5EF4-FFF2-40B4-BE49-F238E27FC236}">
                <a16:creationId xmlns:a16="http://schemas.microsoft.com/office/drawing/2014/main" id="{47A2494B-89FF-4161-A326-C6D5D62CC5EC}"/>
              </a:ext>
            </a:extLst>
          </xdr:cNvPr>
          <xdr:cNvGrpSpPr/>
        </xdr:nvGrpSpPr>
        <xdr:grpSpPr>
          <a:xfrm>
            <a:off x="0" y="0"/>
            <a:ext cx="24003001" cy="1983107"/>
            <a:chOff x="0" y="0"/>
            <a:chExt cx="23980589" cy="2007600"/>
          </a:xfrm>
        </xdr:grpSpPr>
        <xdr:sp macro="" textlink="">
          <xdr:nvSpPr>
            <xdr:cNvPr id="6" name="Rectangle 5">
              <a:extLst>
                <a:ext uri="{FF2B5EF4-FFF2-40B4-BE49-F238E27FC236}">
                  <a16:creationId xmlns:a16="http://schemas.microsoft.com/office/drawing/2014/main" id="{D5218406-CB20-426F-85CD-8B37A8836F69}"/>
                </a:ext>
              </a:extLst>
            </xdr:cNvPr>
            <xdr:cNvSpPr/>
          </xdr:nvSpPr>
          <xdr:spPr>
            <a:xfrm>
              <a:off x="16698895" y="0"/>
              <a:ext cx="7281694" cy="1561452"/>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600" b="1">
                  <a:solidFill>
                    <a:sysClr val="windowText" lastClr="000000"/>
                  </a:solidFill>
                </a:rPr>
                <a:t>Software details</a:t>
              </a:r>
            </a:p>
            <a:p>
              <a:pPr algn="l"/>
              <a:r>
                <a:rPr lang="en-GB" sz="1100">
                  <a:solidFill>
                    <a:sysClr val="windowText" lastClr="000000"/>
                  </a:solidFill>
                </a:rPr>
                <a:t>Contact </a:t>
              </a:r>
              <a:r>
                <a:rPr lang="en-GB" sz="1100">
                  <a:solidFill>
                    <a:srgbClr val="0070C0"/>
                  </a:solidFill>
                </a:rPr>
                <a:t>info@FullControlGCODE.com </a:t>
              </a:r>
              <a:r>
                <a:rPr lang="en-GB" sz="1100">
                  <a:solidFill>
                    <a:sysClr val="windowText" lastClr="000000"/>
                  </a:solidFill>
                </a:rPr>
                <a:t>for support, development requests or collaboration</a:t>
              </a:r>
            </a:p>
            <a:p>
              <a:pPr algn="l"/>
              <a:r>
                <a:rPr lang="en-GB" sz="1100">
                  <a:solidFill>
                    <a:sysClr val="windowText" lastClr="000000"/>
                  </a:solidFill>
                </a:rPr>
                <a:t>The</a:t>
              </a:r>
              <a:r>
                <a:rPr lang="en-GB" sz="1100" baseline="0">
                  <a:solidFill>
                    <a:sysClr val="windowText" lastClr="000000"/>
                  </a:solidFill>
                </a:rPr>
                <a:t> s</a:t>
              </a:r>
              <a:r>
                <a:rPr lang="en-GB" sz="1100">
                  <a:solidFill>
                    <a:sysClr val="windowText" lastClr="000000"/>
                  </a:solidFill>
                </a:rPr>
                <a:t>oftware is being continuously updated (see </a:t>
              </a:r>
              <a:r>
                <a:rPr lang="en-GB" sz="1100">
                  <a:solidFill>
                    <a:srgbClr val="0070C0"/>
                  </a:solidFill>
                </a:rPr>
                <a:t>https://github.com/AndyGlx/FullControl-GCODE-Designer</a:t>
              </a:r>
              <a:r>
                <a:rPr lang="en-GB" sz="1100">
                  <a:solidFill>
                    <a:sysClr val="windowText" lastClr="000000"/>
                  </a:solidFill>
                </a:rPr>
                <a:t>)</a:t>
              </a:r>
            </a:p>
            <a:p>
              <a:pPr algn="l"/>
              <a:r>
                <a:rPr lang="en-GB" sz="1100">
                  <a:solidFill>
                    <a:sysClr val="windowText" lastClr="000000"/>
                  </a:solidFill>
                </a:rPr>
                <a:t>Video tutorials are available</a:t>
              </a:r>
              <a:r>
                <a:rPr lang="en-GB" sz="1100" baseline="0">
                  <a:solidFill>
                    <a:sysClr val="windowText" lastClr="000000"/>
                  </a:solidFill>
                </a:rPr>
                <a:t> at </a:t>
              </a:r>
              <a:r>
                <a:rPr lang="en-GB" sz="1100" baseline="0">
                  <a:solidFill>
                    <a:srgbClr val="0070C0"/>
                  </a:solidFill>
                </a:rPr>
                <a:t>www.FullControlGCODE.com</a:t>
              </a:r>
            </a:p>
            <a:p>
              <a:pPr algn="l"/>
              <a:endParaRPr lang="en-GB" sz="1100" baseline="0">
                <a:solidFill>
                  <a:sysClr val="windowText" lastClr="000000"/>
                </a:solidFill>
              </a:endParaRPr>
            </a:p>
            <a:p>
              <a:pPr algn="l"/>
              <a:r>
                <a:rPr lang="en-GB" sz="1100" baseline="0">
                  <a:solidFill>
                    <a:sysClr val="windowText" lastClr="000000"/>
                  </a:solidFill>
                </a:rPr>
                <a:t>Please cite the associated FullControl GCODE Designer journal paper appropriately</a:t>
              </a:r>
            </a:p>
            <a:p>
              <a:pPr algn="l"/>
              <a:r>
                <a:rPr lang="en-GB" sz="1100" baseline="0">
                  <a:solidFill>
                    <a:sysClr val="windowText" lastClr="000000"/>
                  </a:solidFill>
                </a:rPr>
                <a:t>Software version: Heron01</a:t>
              </a:r>
              <a:endParaRPr lang="en-GB" sz="1100">
                <a:solidFill>
                  <a:sysClr val="windowText" lastClr="000000"/>
                </a:solidFill>
              </a:endParaRPr>
            </a:p>
          </xdr:txBody>
        </xdr:sp>
        <xdr:sp macro="" textlink="">
          <xdr:nvSpPr>
            <xdr:cNvPr id="14" name="Rectangle 13">
              <a:extLst>
                <a:ext uri="{FF2B5EF4-FFF2-40B4-BE49-F238E27FC236}">
                  <a16:creationId xmlns:a16="http://schemas.microsoft.com/office/drawing/2014/main" id="{FADF4A21-1923-48F9-B401-EFE18D5D6075}"/>
                </a:ext>
              </a:extLst>
            </xdr:cNvPr>
            <xdr:cNvSpPr/>
          </xdr:nvSpPr>
          <xdr:spPr>
            <a:xfrm>
              <a:off x="0" y="0"/>
              <a:ext cx="23980588" cy="15464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8" name="Picture 7">
              <a:hlinkClick xmlns:r="http://schemas.openxmlformats.org/officeDocument/2006/relationships" r:id="rId2" tooltip="www.FullControlGCODE.com"/>
              <a:extLst>
                <a:ext uri="{FF2B5EF4-FFF2-40B4-BE49-F238E27FC236}">
                  <a16:creationId xmlns:a16="http://schemas.microsoft.com/office/drawing/2014/main" id="{C6B849B7-95F2-425D-831A-665A0C198765}"/>
                </a:ext>
              </a:extLst>
            </xdr:cNvPr>
            <xdr:cNvPicPr>
              <a:picLocks noChangeAspect="1"/>
            </xdr:cNvPicPr>
          </xdr:nvPicPr>
          <xdr:blipFill>
            <a:blip xmlns:r="http://schemas.openxmlformats.org/officeDocument/2006/relationships" r:embed="rId3"/>
            <a:stretch>
              <a:fillRect/>
            </a:stretch>
          </xdr:blipFill>
          <xdr:spPr>
            <a:xfrm>
              <a:off x="266376" y="83728"/>
              <a:ext cx="4448637" cy="1424679"/>
            </a:xfrm>
            <a:prstGeom prst="rect">
              <a:avLst/>
            </a:prstGeom>
          </xdr:spPr>
        </xdr:pic>
        <xdr:sp macro="" textlink="">
          <xdr:nvSpPr>
            <xdr:cNvPr id="27" name="Rectangle 26">
              <a:extLst>
                <a:ext uri="{FF2B5EF4-FFF2-40B4-BE49-F238E27FC236}">
                  <a16:creationId xmlns:a16="http://schemas.microsoft.com/office/drawing/2014/main" id="{CF0CBC9B-6071-4183-9B98-15ABC39B7801}"/>
                </a:ext>
              </a:extLst>
            </xdr:cNvPr>
            <xdr:cNvSpPr/>
          </xdr:nvSpPr>
          <xdr:spPr>
            <a:xfrm>
              <a:off x="0" y="1546366"/>
              <a:ext cx="23980588" cy="461234"/>
            </a:xfrm>
            <a:prstGeom prst="rect">
              <a:avLst/>
            </a:prstGeom>
            <a:solidFill>
              <a:schemeClr val="bg1">
                <a:lumMod val="95000"/>
              </a:schemeClr>
            </a:solidFill>
            <a:ln>
              <a:noFill/>
            </a:ln>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r>
                <a:rPr lang="en-GB" sz="1000" baseline="0">
                  <a:solidFill>
                    <a:schemeClr val="bg1">
                      <a:lumMod val="50000"/>
                    </a:schemeClr>
                  </a:solidFill>
                </a:rPr>
                <a:t>Disclaimer: This software is used at your own risk. No liability is held for damage to equipment or other loses. You should only use this software if you are comfortable with the GCODE format required for your hardware, and should check that the GCODE has been generated correctly. </a:t>
              </a:r>
            </a:p>
            <a:p>
              <a:pPr algn="l"/>
              <a:r>
                <a:rPr lang="en-GB" sz="1000" baseline="0">
                  <a:solidFill>
                    <a:schemeClr val="bg1">
                      <a:lumMod val="50000"/>
                    </a:schemeClr>
                  </a:solidFill>
                </a:rPr>
                <a:t>Open source licence: GNU GPU v3.0</a:t>
              </a:r>
              <a:endParaRPr lang="en-GB" sz="1000">
                <a:solidFill>
                  <a:schemeClr val="bg1">
                    <a:lumMod val="50000"/>
                  </a:schemeClr>
                </a:solidFill>
              </a:endParaRPr>
            </a:p>
          </xdr:txBody>
        </xdr:sp>
      </xdr:grpSp>
      <xdr:sp macro="" textlink="">
        <xdr:nvSpPr>
          <xdr:cNvPr id="12" name="Rectangle 11">
            <a:hlinkClick xmlns:r="http://schemas.openxmlformats.org/officeDocument/2006/relationships" r:id="rId4" tooltip="http://www.FullControlGCODE.com"/>
            <a:extLst>
              <a:ext uri="{FF2B5EF4-FFF2-40B4-BE49-F238E27FC236}">
                <a16:creationId xmlns:a16="http://schemas.microsoft.com/office/drawing/2014/main" id="{524745FF-56E6-430E-BC52-329780F750F2}"/>
              </a:ext>
            </a:extLst>
          </xdr:cNvPr>
          <xdr:cNvSpPr/>
        </xdr:nvSpPr>
        <xdr:spPr>
          <a:xfrm>
            <a:off x="18556333" y="662940"/>
            <a:ext cx="1663881" cy="1112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1" name="Rectangle 30">
            <a:hlinkClick xmlns:r="http://schemas.openxmlformats.org/officeDocument/2006/relationships" r:id="rId5" tooltip="https://github.com/AndyGlx/FullControl-GCODE-Designer"/>
            <a:extLst>
              <a:ext uri="{FF2B5EF4-FFF2-40B4-BE49-F238E27FC236}">
                <a16:creationId xmlns:a16="http://schemas.microsoft.com/office/drawing/2014/main" id="{C62CE981-8EA2-4E79-8B79-6BB47F3B9B6F}"/>
              </a:ext>
            </a:extLst>
          </xdr:cNvPr>
          <xdr:cNvSpPr/>
        </xdr:nvSpPr>
        <xdr:spPr>
          <a:xfrm>
            <a:off x="19584488" y="487953"/>
            <a:ext cx="3292928" cy="102103"/>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
        <xdr:nvSpPr>
          <xdr:cNvPr id="32" name="Rectangle 31">
            <a:hlinkClick xmlns:r="http://schemas.openxmlformats.org/officeDocument/2006/relationships" r:id="rId6" tooltip="info@FullControlGCODE.com"/>
            <a:extLst>
              <a:ext uri="{FF2B5EF4-FFF2-40B4-BE49-F238E27FC236}">
                <a16:creationId xmlns:a16="http://schemas.microsoft.com/office/drawing/2014/main" id="{5274C367-9C3A-4598-92C7-E619BA103797}"/>
              </a:ext>
            </a:extLst>
          </xdr:cNvPr>
          <xdr:cNvSpPr/>
        </xdr:nvSpPr>
        <xdr:spPr>
          <a:xfrm>
            <a:off x="17281071" y="322316"/>
            <a:ext cx="1652451" cy="995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hyperlink" Target="https://doi.org/10.1016/j.prostr.2018.12.103" TargetMode="External"/><Relationship Id="rId2" Type="http://schemas.openxmlformats.org/officeDocument/2006/relationships/hyperlink" Target="https://doi.org/10.1016/j.addma.2020.101297" TargetMode="External"/><Relationship Id="rId1" Type="http://schemas.openxmlformats.org/officeDocument/2006/relationships/hyperlink" Target="https://doi.org/10.1016/j.jmbbm.2019.103510" TargetMode="Externa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5FA38-15FE-4B53-B3C4-DA39EE316379}">
  <sheetPr codeName="Sheet1"/>
  <dimension ref="A1:AN40"/>
  <sheetViews>
    <sheetView showGridLines="0" showRowColHeaders="0" tabSelected="1" zoomScale="115" zoomScaleNormal="115" workbookViewId="0">
      <pane ySplit="1" topLeftCell="A2" activePane="bottomLeft" state="frozen"/>
      <selection activeCell="S41" sqref="S41:T43"/>
      <selection pane="bottomLeft" activeCell="B8" sqref="B8"/>
    </sheetView>
  </sheetViews>
  <sheetFormatPr defaultColWidth="8.85546875" defaultRowHeight="15" x14ac:dyDescent="0.25"/>
  <cols>
    <col min="1" max="1" width="9.140625" style="82" customWidth="1"/>
    <col min="2" max="2" width="19.140625" style="82" customWidth="1"/>
    <col min="3" max="6" width="12.140625" style="82" customWidth="1"/>
    <col min="7" max="7" width="21.140625" style="82" customWidth="1"/>
    <col min="8" max="16" width="12.140625" style="82" customWidth="1"/>
    <col min="17" max="17" width="67.85546875" style="82" customWidth="1"/>
    <col min="18" max="18" width="3.42578125" style="82" customWidth="1"/>
    <col min="19" max="19" width="32.140625" style="82" bestFit="1" customWidth="1"/>
    <col min="20" max="20" width="19.7109375" style="82" customWidth="1"/>
    <col min="21" max="21" width="20" style="82" bestFit="1" customWidth="1"/>
    <col min="22" max="16384" width="8.85546875" style="82"/>
  </cols>
  <sheetData>
    <row r="1" spans="1:40" s="87" customFormat="1" ht="122.25" customHeight="1" x14ac:dyDescent="0.3">
      <c r="B1" s="113"/>
      <c r="C1" s="114"/>
      <c r="D1" s="114"/>
      <c r="E1" s="114"/>
      <c r="F1" s="114"/>
      <c r="G1" s="88"/>
      <c r="L1" s="89"/>
      <c r="S1" s="90"/>
    </row>
    <row r="2" spans="1:40" s="87" customFormat="1" x14ac:dyDescent="0.25">
      <c r="C2" s="89"/>
      <c r="E2" s="89"/>
    </row>
    <row r="3" spans="1:40" x14ac:dyDescent="0.25">
      <c r="F3" s="84"/>
      <c r="H3" s="85"/>
      <c r="M3" s="85"/>
      <c r="O3" s="85"/>
    </row>
    <row r="4" spans="1:40" x14ac:dyDescent="0.25">
      <c r="M4" s="86"/>
    </row>
    <row r="5" spans="1:40" x14ac:dyDescent="0.25">
      <c r="T5" s="96" t="s">
        <v>173</v>
      </c>
      <c r="U5" s="95">
        <f>COUNTA(RecycleBin!AO:AO)</f>
        <v>0</v>
      </c>
      <c r="V5" s="87"/>
    </row>
    <row r="6" spans="1:40" s="83" customFormat="1" x14ac:dyDescent="0.25">
      <c r="A6" s="59" t="s">
        <v>171</v>
      </c>
      <c r="B6" s="2" t="s">
        <v>436</v>
      </c>
      <c r="C6" s="59" t="s">
        <v>170</v>
      </c>
      <c r="D6" s="2" t="s">
        <v>435</v>
      </c>
      <c r="E6" s="29"/>
      <c r="F6" s="29"/>
      <c r="G6" s="29"/>
      <c r="H6" s="29"/>
      <c r="I6" s="29"/>
      <c r="J6" s="29"/>
      <c r="K6" s="29"/>
      <c r="L6" s="29"/>
      <c r="M6" s="29"/>
      <c r="N6" s="29"/>
      <c r="O6" s="29"/>
      <c r="P6" s="29"/>
      <c r="Q6"/>
      <c r="R6"/>
      <c r="S6"/>
      <c r="T6"/>
      <c r="U6" s="91"/>
      <c r="V6"/>
      <c r="W6"/>
      <c r="X6"/>
      <c r="Y6"/>
      <c r="Z6"/>
      <c r="AA6"/>
      <c r="AB6"/>
      <c r="AC6"/>
      <c r="AD6"/>
      <c r="AE6"/>
      <c r="AF6"/>
      <c r="AG6"/>
      <c r="AH6"/>
      <c r="AI6"/>
      <c r="AJ6"/>
      <c r="AK6"/>
      <c r="AL6"/>
      <c r="AM6"/>
      <c r="AN6"/>
    </row>
    <row r="7" spans="1:40" s="83" customFormat="1" x14ac:dyDescent="0.25">
      <c r="A7" s="40" t="s">
        <v>0</v>
      </c>
      <c r="B7" s="41"/>
      <c r="C7" s="18"/>
      <c r="D7" s="18"/>
      <c r="E7" s="18"/>
      <c r="F7" s="18"/>
      <c r="G7" s="18"/>
      <c r="H7" s="18"/>
      <c r="I7" s="18"/>
      <c r="J7" s="18"/>
      <c r="K7" s="18"/>
      <c r="L7" s="18"/>
      <c r="M7" s="18"/>
      <c r="N7" s="18"/>
      <c r="O7" s="18"/>
      <c r="P7" s="18"/>
      <c r="Q7" s="59" t="s">
        <v>333</v>
      </c>
      <c r="R7"/>
      <c r="S7"/>
      <c r="T7"/>
      <c r="U7" s="91"/>
      <c r="V7"/>
      <c r="W7"/>
      <c r="X7"/>
      <c r="Y7"/>
      <c r="Z7"/>
      <c r="AA7"/>
      <c r="AB7"/>
      <c r="AC7"/>
      <c r="AD7"/>
      <c r="AE7"/>
      <c r="AF7"/>
      <c r="AG7"/>
      <c r="AH7"/>
      <c r="AI7"/>
      <c r="AJ7"/>
      <c r="AK7"/>
      <c r="AL7"/>
      <c r="AM7"/>
      <c r="AN7"/>
    </row>
    <row r="8" spans="1:40" s="83" customFormat="1" x14ac:dyDescent="0.25">
      <c r="A8" s="20">
        <v>1</v>
      </c>
      <c r="B8" s="20" t="s">
        <v>437</v>
      </c>
      <c r="C8" s="20"/>
      <c r="D8" s="20"/>
      <c r="E8" s="20"/>
      <c r="F8" s="20"/>
      <c r="G8" s="20"/>
      <c r="H8" s="20"/>
      <c r="I8" s="20"/>
      <c r="J8" s="20"/>
      <c r="K8" s="20"/>
      <c r="L8" s="20"/>
      <c r="M8" s="20"/>
      <c r="N8" s="20"/>
      <c r="O8" s="20"/>
      <c r="P8" s="20"/>
      <c r="Q8" s="20"/>
      <c r="R8"/>
      <c r="S8" s="97" t="s">
        <v>41</v>
      </c>
      <c r="T8" s="3"/>
      <c r="U8" s="5"/>
      <c r="V8"/>
      <c r="W8"/>
      <c r="X8"/>
      <c r="Y8"/>
      <c r="Z8"/>
      <c r="AA8"/>
      <c r="AB8"/>
      <c r="AC8"/>
      <c r="AD8"/>
      <c r="AE8"/>
      <c r="AF8"/>
      <c r="AG8"/>
      <c r="AH8"/>
      <c r="AI8"/>
      <c r="AJ8"/>
      <c r="AK8"/>
      <c r="AL8"/>
      <c r="AM8"/>
      <c r="AN8"/>
    </row>
    <row r="9" spans="1:40" s="83" customFormat="1" x14ac:dyDescent="0.25">
      <c r="A9" s="20">
        <v>2</v>
      </c>
      <c r="B9" s="20"/>
      <c r="C9" s="20"/>
      <c r="D9" s="20"/>
      <c r="E9" s="20"/>
      <c r="F9" s="20"/>
      <c r="G9" s="20"/>
      <c r="H9" s="20"/>
      <c r="I9" s="20"/>
      <c r="J9" s="20"/>
      <c r="K9" s="20"/>
      <c r="L9" s="20"/>
      <c r="M9" s="20"/>
      <c r="N9" s="20"/>
      <c r="O9" s="20"/>
      <c r="P9" s="20"/>
      <c r="Q9" s="20"/>
      <c r="R9"/>
      <c r="S9" s="5" t="s">
        <v>124</v>
      </c>
      <c r="T9" s="5">
        <v>0.2</v>
      </c>
      <c r="U9" s="5" t="s">
        <v>45</v>
      </c>
      <c r="V9"/>
      <c r="W9"/>
      <c r="X9"/>
      <c r="Y9"/>
      <c r="Z9"/>
      <c r="AA9"/>
      <c r="AB9"/>
      <c r="AC9"/>
      <c r="AD9"/>
      <c r="AE9"/>
      <c r="AF9"/>
      <c r="AG9"/>
      <c r="AH9"/>
      <c r="AI9"/>
      <c r="AJ9"/>
      <c r="AK9"/>
      <c r="AL9"/>
      <c r="AM9"/>
      <c r="AN9"/>
    </row>
    <row r="10" spans="1:40" s="83" customFormat="1" x14ac:dyDescent="0.25">
      <c r="A10" s="20">
        <v>3</v>
      </c>
      <c r="B10" s="122"/>
      <c r="C10" s="20"/>
      <c r="D10" s="20"/>
      <c r="E10" s="20"/>
      <c r="F10" s="20"/>
      <c r="G10" s="20"/>
      <c r="H10" s="20"/>
      <c r="I10" s="20"/>
      <c r="J10" s="20"/>
      <c r="K10" s="20"/>
      <c r="L10" s="20"/>
      <c r="M10" s="20"/>
      <c r="N10" s="20"/>
      <c r="O10" s="20"/>
      <c r="P10" s="20"/>
      <c r="Q10" s="20"/>
      <c r="R10"/>
      <c r="S10" s="5" t="s">
        <v>97</v>
      </c>
      <c r="T10" s="5">
        <v>1</v>
      </c>
      <c r="U10" s="5" t="s">
        <v>99</v>
      </c>
      <c r="V10"/>
      <c r="W10"/>
      <c r="X10"/>
      <c r="Y10"/>
      <c r="Z10"/>
      <c r="AA10"/>
      <c r="AB10"/>
      <c r="AC10"/>
      <c r="AD10"/>
      <c r="AE10"/>
      <c r="AF10"/>
      <c r="AG10"/>
      <c r="AH10"/>
      <c r="AI10"/>
      <c r="AJ10"/>
      <c r="AK10"/>
      <c r="AL10"/>
      <c r="AM10"/>
      <c r="AN10"/>
    </row>
    <row r="11" spans="1:40" s="83" customFormat="1" x14ac:dyDescent="0.25">
      <c r="A11" s="20">
        <v>4</v>
      </c>
      <c r="B11" s="20"/>
      <c r="C11" s="20"/>
      <c r="D11" s="20"/>
      <c r="E11" s="20"/>
      <c r="F11" s="20"/>
      <c r="G11" s="20"/>
      <c r="H11" s="20"/>
      <c r="I11" s="20"/>
      <c r="J11" s="20"/>
      <c r="K11" s="20"/>
      <c r="L11" s="20"/>
      <c r="M11" s="20"/>
      <c r="N11" s="20"/>
      <c r="O11" s="20"/>
      <c r="P11" s="20"/>
      <c r="Q11" s="20"/>
      <c r="R11"/>
      <c r="S11" s="5" t="s">
        <v>98</v>
      </c>
      <c r="T11" s="5">
        <v>1</v>
      </c>
      <c r="U11" s="5" t="s">
        <v>99</v>
      </c>
      <c r="V11"/>
      <c r="W11"/>
      <c r="X11"/>
      <c r="Y11"/>
      <c r="Z11"/>
      <c r="AA11"/>
      <c r="AB11"/>
      <c r="AC11"/>
      <c r="AD11"/>
      <c r="AE11"/>
      <c r="AF11"/>
      <c r="AG11"/>
      <c r="AH11"/>
      <c r="AI11"/>
      <c r="AJ11"/>
      <c r="AK11"/>
      <c r="AL11"/>
      <c r="AM11"/>
      <c r="AN11"/>
    </row>
    <row r="12" spans="1:40" s="83" customFormat="1" x14ac:dyDescent="0.25">
      <c r="A12" s="20">
        <v>5</v>
      </c>
      <c r="B12" s="20"/>
      <c r="C12" s="20"/>
      <c r="D12" s="20"/>
      <c r="E12" s="20"/>
      <c r="F12" s="20"/>
      <c r="G12" s="20"/>
      <c r="H12" s="20"/>
      <c r="I12" s="20"/>
      <c r="J12" s="20"/>
      <c r="K12" s="20"/>
      <c r="L12" s="20"/>
      <c r="M12" s="20"/>
      <c r="N12" s="20"/>
      <c r="O12" s="20"/>
      <c r="P12" s="20"/>
      <c r="Q12" s="20"/>
      <c r="R12"/>
      <c r="S12" s="5" t="s">
        <v>236</v>
      </c>
      <c r="T12" s="5" t="s">
        <v>247</v>
      </c>
      <c r="U12" s="5"/>
      <c r="V12"/>
      <c r="W12"/>
      <c r="X12"/>
      <c r="Y12"/>
      <c r="Z12"/>
      <c r="AA12"/>
      <c r="AB12"/>
      <c r="AC12"/>
      <c r="AD12"/>
      <c r="AE12"/>
      <c r="AF12"/>
      <c r="AG12"/>
      <c r="AH12"/>
      <c r="AI12"/>
      <c r="AJ12"/>
      <c r="AK12"/>
      <c r="AL12"/>
      <c r="AM12"/>
      <c r="AN12"/>
    </row>
    <row r="13" spans="1:40" s="83" customFormat="1" x14ac:dyDescent="0.25">
      <c r="A13" s="20">
        <v>6</v>
      </c>
      <c r="B13" s="20"/>
      <c r="C13" s="20"/>
      <c r="D13" s="20"/>
      <c r="E13" s="20"/>
      <c r="F13" s="20"/>
      <c r="G13" s="20"/>
      <c r="H13" s="20"/>
      <c r="I13" s="20"/>
      <c r="J13" s="20"/>
      <c r="K13" s="20"/>
      <c r="L13" s="20"/>
      <c r="M13" s="20"/>
      <c r="N13" s="20"/>
      <c r="O13" s="20"/>
      <c r="P13" s="20"/>
      <c r="Q13" s="20"/>
      <c r="R13"/>
      <c r="S13" s="5" t="s">
        <v>237</v>
      </c>
      <c r="T13" s="5">
        <v>0</v>
      </c>
      <c r="U13" s="5"/>
      <c r="V13"/>
      <c r="W13"/>
      <c r="X13"/>
      <c r="Y13"/>
      <c r="Z13"/>
      <c r="AA13"/>
      <c r="AB13"/>
      <c r="AC13"/>
      <c r="AD13"/>
      <c r="AE13"/>
      <c r="AF13"/>
      <c r="AG13"/>
      <c r="AH13"/>
      <c r="AI13"/>
      <c r="AJ13"/>
      <c r="AK13"/>
      <c r="AL13"/>
      <c r="AM13"/>
      <c r="AN13"/>
    </row>
    <row r="14" spans="1:40" s="83" customFormat="1" x14ac:dyDescent="0.25">
      <c r="A14" s="20">
        <v>7</v>
      </c>
      <c r="B14" s="20"/>
      <c r="C14" s="20"/>
      <c r="D14" s="20"/>
      <c r="E14" s="20"/>
      <c r="F14" s="20"/>
      <c r="G14" s="20"/>
      <c r="H14" s="20"/>
      <c r="I14" s="20"/>
      <c r="J14" s="20"/>
      <c r="K14" s="20"/>
      <c r="L14" s="20"/>
      <c r="M14" s="20"/>
      <c r="N14" s="20"/>
      <c r="O14" s="20"/>
      <c r="P14" s="20"/>
      <c r="Q14" s="20"/>
      <c r="R14"/>
      <c r="S14" s="58"/>
      <c r="T14" s="58"/>
      <c r="U14" s="92"/>
      <c r="V14"/>
      <c r="W14"/>
      <c r="X14"/>
      <c r="Y14"/>
      <c r="Z14"/>
      <c r="AA14"/>
      <c r="AB14"/>
      <c r="AC14"/>
      <c r="AD14"/>
      <c r="AE14"/>
      <c r="AF14"/>
      <c r="AG14"/>
      <c r="AH14"/>
      <c r="AI14"/>
      <c r="AJ14"/>
      <c r="AK14"/>
      <c r="AL14"/>
      <c r="AM14"/>
      <c r="AN14"/>
    </row>
    <row r="15" spans="1:40" s="83" customFormat="1" x14ac:dyDescent="0.25">
      <c r="A15" s="20">
        <v>8</v>
      </c>
      <c r="B15" s="20"/>
      <c r="C15" s="20"/>
      <c r="D15" s="20"/>
      <c r="E15" s="20"/>
      <c r="F15" s="20"/>
      <c r="G15" s="20"/>
      <c r="H15" s="20"/>
      <c r="I15" s="20"/>
      <c r="J15" s="20"/>
      <c r="K15" s="20"/>
      <c r="L15" s="20"/>
      <c r="M15" s="20"/>
      <c r="N15" s="20"/>
      <c r="O15" s="20"/>
      <c r="P15" s="20"/>
      <c r="Q15" s="20"/>
      <c r="R15"/>
      <c r="S15" s="5" t="s">
        <v>383</v>
      </c>
      <c r="T15" s="5">
        <v>60</v>
      </c>
      <c r="U15" s="5" t="s">
        <v>44</v>
      </c>
      <c r="V15" s="1"/>
      <c r="W15"/>
      <c r="X15"/>
      <c r="Y15"/>
      <c r="Z15"/>
      <c r="AA15"/>
      <c r="AB15"/>
      <c r="AC15"/>
      <c r="AD15"/>
      <c r="AE15"/>
      <c r="AF15"/>
      <c r="AG15"/>
      <c r="AH15"/>
      <c r="AI15"/>
      <c r="AJ15"/>
      <c r="AK15"/>
      <c r="AL15"/>
      <c r="AM15"/>
      <c r="AN15"/>
    </row>
    <row r="16" spans="1:40" s="83" customFormat="1" x14ac:dyDescent="0.25">
      <c r="A16" s="20">
        <v>9</v>
      </c>
      <c r="B16" s="20"/>
      <c r="C16" s="20"/>
      <c r="D16" s="20"/>
      <c r="E16" s="20"/>
      <c r="F16" s="20"/>
      <c r="G16" s="20"/>
      <c r="H16" s="20"/>
      <c r="I16" s="20"/>
      <c r="J16" s="20"/>
      <c r="K16" s="20"/>
      <c r="L16" s="20"/>
      <c r="M16" s="20"/>
      <c r="N16" s="20"/>
      <c r="O16" s="20"/>
      <c r="P16" s="20"/>
      <c r="Q16" s="20"/>
      <c r="R16"/>
      <c r="S16" s="5" t="s">
        <v>95</v>
      </c>
      <c r="T16" s="5">
        <v>1000</v>
      </c>
      <c r="U16" s="5" t="s">
        <v>46</v>
      </c>
      <c r="V16"/>
      <c r="W16"/>
      <c r="X16"/>
      <c r="Y16"/>
      <c r="Z16"/>
      <c r="AA16"/>
      <c r="AB16"/>
      <c r="AC16"/>
      <c r="AD16"/>
      <c r="AE16"/>
      <c r="AF16"/>
      <c r="AG16"/>
      <c r="AH16"/>
      <c r="AI16"/>
      <c r="AJ16"/>
      <c r="AK16"/>
      <c r="AL16"/>
      <c r="AM16"/>
      <c r="AN16"/>
    </row>
    <row r="17" spans="1:40" s="83" customFormat="1" x14ac:dyDescent="0.25">
      <c r="A17" s="20">
        <v>10</v>
      </c>
      <c r="B17" s="20"/>
      <c r="C17" s="20"/>
      <c r="D17" s="20"/>
      <c r="E17" s="20"/>
      <c r="F17" s="20"/>
      <c r="G17" s="20"/>
      <c r="H17" s="20"/>
      <c r="I17" s="20"/>
      <c r="J17" s="20"/>
      <c r="K17" s="20"/>
      <c r="L17" s="20"/>
      <c r="M17" s="20"/>
      <c r="N17" s="20"/>
      <c r="O17" s="20"/>
      <c r="P17" s="20"/>
      <c r="Q17" s="20"/>
      <c r="R17"/>
      <c r="S17" s="5" t="s">
        <v>96</v>
      </c>
      <c r="T17" s="5">
        <v>9000</v>
      </c>
      <c r="U17" s="5" t="s">
        <v>46</v>
      </c>
      <c r="V17"/>
      <c r="W17"/>
      <c r="X17"/>
      <c r="Y17"/>
      <c r="Z17"/>
      <c r="AA17"/>
      <c r="AB17"/>
      <c r="AC17"/>
      <c r="AD17"/>
      <c r="AE17"/>
      <c r="AF17"/>
      <c r="AG17"/>
      <c r="AH17"/>
      <c r="AI17"/>
      <c r="AJ17"/>
      <c r="AK17"/>
      <c r="AL17"/>
      <c r="AM17"/>
      <c r="AN17"/>
    </row>
    <row r="18" spans="1:40" s="83" customFormat="1" x14ac:dyDescent="0.25">
      <c r="A18" s="20">
        <v>11</v>
      </c>
      <c r="B18" s="20"/>
      <c r="C18" s="20"/>
      <c r="D18" s="20"/>
      <c r="E18" s="20"/>
      <c r="F18" s="20"/>
      <c r="G18" s="20"/>
      <c r="H18" s="20"/>
      <c r="I18" s="20"/>
      <c r="J18" s="20"/>
      <c r="K18" s="20"/>
      <c r="L18" s="20"/>
      <c r="M18" s="20"/>
      <c r="N18" s="20"/>
      <c r="O18" s="20"/>
      <c r="P18" s="20"/>
      <c r="Q18" s="20"/>
      <c r="R18"/>
      <c r="S18" s="5" t="s">
        <v>42</v>
      </c>
      <c r="T18" s="5">
        <v>210</v>
      </c>
      <c r="U18" s="5" t="s">
        <v>44</v>
      </c>
      <c r="V18" s="1"/>
      <c r="W18"/>
      <c r="X18"/>
      <c r="Y18"/>
      <c r="Z18"/>
      <c r="AA18"/>
      <c r="AB18"/>
      <c r="AC18"/>
      <c r="AD18"/>
      <c r="AE18"/>
      <c r="AF18"/>
      <c r="AG18"/>
      <c r="AH18"/>
      <c r="AI18"/>
      <c r="AJ18"/>
      <c r="AK18"/>
      <c r="AL18"/>
      <c r="AM18"/>
      <c r="AN18"/>
    </row>
    <row r="19" spans="1:40" s="83" customFormat="1" x14ac:dyDescent="0.25">
      <c r="A19" s="29"/>
      <c r="B19" s="29"/>
      <c r="C19" s="29"/>
      <c r="D19" s="29"/>
      <c r="E19" s="29"/>
      <c r="F19" s="29"/>
      <c r="G19" s="29"/>
      <c r="H19" s="29"/>
      <c r="I19" s="29"/>
      <c r="J19" s="29"/>
      <c r="K19" s="29"/>
      <c r="L19" s="29"/>
      <c r="M19" s="29"/>
      <c r="N19" s="29"/>
      <c r="O19" s="29"/>
      <c r="P19" s="29"/>
      <c r="Q19" s="29"/>
      <c r="R19"/>
      <c r="S19" s="5" t="s">
        <v>43</v>
      </c>
      <c r="T19" s="5">
        <v>2.85</v>
      </c>
      <c r="U19" s="5" t="s">
        <v>45</v>
      </c>
      <c r="V19"/>
      <c r="W19"/>
      <c r="X19"/>
      <c r="Y19"/>
      <c r="Z19"/>
      <c r="AA19"/>
      <c r="AB19"/>
      <c r="AC19"/>
      <c r="AD19"/>
      <c r="AE19"/>
      <c r="AF19"/>
      <c r="AG19"/>
      <c r="AH19"/>
      <c r="AI19"/>
      <c r="AJ19"/>
      <c r="AK19"/>
      <c r="AL19"/>
      <c r="AM19"/>
      <c r="AN19"/>
    </row>
    <row r="20" spans="1:40" s="83" customFormat="1" x14ac:dyDescent="0.25">
      <c r="A20" s="29"/>
      <c r="B20" s="29"/>
      <c r="C20" s="29"/>
      <c r="D20" s="29"/>
      <c r="E20" s="29"/>
      <c r="F20" s="29"/>
      <c r="G20" s="29"/>
      <c r="H20" s="29"/>
      <c r="I20" s="29"/>
      <c r="J20" s="29"/>
      <c r="K20" s="29"/>
      <c r="L20" s="29"/>
      <c r="M20" s="29"/>
      <c r="N20" s="29"/>
      <c r="O20" s="29"/>
      <c r="P20" s="29"/>
      <c r="Q20" s="29"/>
      <c r="R20"/>
      <c r="S20" s="5" t="s">
        <v>47</v>
      </c>
      <c r="T20" s="5" t="s">
        <v>91</v>
      </c>
      <c r="U20" s="5" t="s">
        <v>100</v>
      </c>
      <c r="V20"/>
      <c r="W20"/>
      <c r="X20"/>
      <c r="Y20"/>
      <c r="Z20"/>
      <c r="AA20"/>
      <c r="AB20"/>
      <c r="AC20"/>
      <c r="AD20"/>
      <c r="AE20"/>
      <c r="AF20"/>
      <c r="AG20"/>
      <c r="AH20"/>
      <c r="AI20"/>
      <c r="AJ20"/>
      <c r="AK20"/>
      <c r="AL20"/>
      <c r="AM20"/>
      <c r="AN20"/>
    </row>
    <row r="21" spans="1:40" s="83" customFormat="1" x14ac:dyDescent="0.25">
      <c r="A21" s="29"/>
      <c r="B21" s="29"/>
      <c r="C21" s="29"/>
      <c r="D21" s="29"/>
      <c r="E21" s="29"/>
      <c r="F21" s="29"/>
      <c r="G21" s="29"/>
      <c r="H21" s="29"/>
      <c r="I21" s="29"/>
      <c r="J21" s="29"/>
      <c r="K21" s="29"/>
      <c r="L21" s="29"/>
      <c r="M21" s="29"/>
      <c r="N21" s="29"/>
      <c r="O21" s="29"/>
      <c r="P21" s="29"/>
      <c r="Q21" s="29"/>
      <c r="R21"/>
      <c r="S21" s="5" t="s">
        <v>134</v>
      </c>
      <c r="T21" s="5" t="s">
        <v>195</v>
      </c>
      <c r="U21" s="5"/>
      <c r="V21"/>
      <c r="W21"/>
      <c r="X21"/>
      <c r="Y21"/>
      <c r="Z21"/>
      <c r="AA21"/>
      <c r="AB21"/>
      <c r="AC21"/>
      <c r="AD21"/>
      <c r="AE21"/>
      <c r="AF21"/>
      <c r="AG21"/>
      <c r="AH21"/>
      <c r="AI21"/>
      <c r="AJ21"/>
      <c r="AK21"/>
      <c r="AL21"/>
      <c r="AM21"/>
      <c r="AN21"/>
    </row>
    <row r="22" spans="1:40" s="83" customFormat="1" x14ac:dyDescent="0.25">
      <c r="A22" s="29"/>
      <c r="B22" s="29"/>
      <c r="C22" s="29"/>
      <c r="D22" s="29"/>
      <c r="E22" s="29"/>
      <c r="F22" s="29"/>
      <c r="G22" s="29"/>
      <c r="H22" s="29"/>
      <c r="I22" s="29"/>
      <c r="J22" s="29"/>
      <c r="K22" s="29"/>
      <c r="L22" s="29"/>
      <c r="M22" s="29"/>
      <c r="N22" s="29"/>
      <c r="O22" s="29"/>
      <c r="P22" s="29"/>
      <c r="Q22" s="29"/>
      <c r="R22"/>
      <c r="S22" s="5" t="s">
        <v>194</v>
      </c>
      <c r="T22" s="5" t="s">
        <v>165</v>
      </c>
      <c r="U22" s="5"/>
      <c r="V22"/>
      <c r="W22"/>
      <c r="X22"/>
      <c r="Y22"/>
      <c r="Z22"/>
      <c r="AA22"/>
      <c r="AB22"/>
      <c r="AC22"/>
      <c r="AD22"/>
      <c r="AE22"/>
      <c r="AF22"/>
      <c r="AG22"/>
      <c r="AH22"/>
      <c r="AI22"/>
      <c r="AJ22"/>
      <c r="AK22"/>
      <c r="AL22"/>
      <c r="AM22"/>
      <c r="AN22"/>
    </row>
    <row r="23" spans="1:40" s="83" customFormat="1" x14ac:dyDescent="0.25">
      <c r="A23" s="29"/>
      <c r="B23" s="29"/>
      <c r="C23" s="29"/>
      <c r="D23" s="29"/>
      <c r="E23" s="29"/>
      <c r="F23" s="29"/>
      <c r="G23" s="29"/>
      <c r="H23" s="29"/>
      <c r="I23" s="29"/>
      <c r="J23" s="29"/>
      <c r="K23" s="29"/>
      <c r="L23" s="29"/>
      <c r="M23" s="29"/>
      <c r="N23" s="29"/>
      <c r="O23" s="29"/>
      <c r="P23" s="29"/>
      <c r="Q23" s="29"/>
      <c r="R23"/>
      <c r="S23" s="5" t="s">
        <v>209</v>
      </c>
      <c r="T23" s="5">
        <v>20</v>
      </c>
      <c r="U23" s="5" t="s">
        <v>45</v>
      </c>
      <c r="V23"/>
      <c r="W23"/>
      <c r="X23"/>
      <c r="Y23"/>
      <c r="Z23"/>
      <c r="AA23"/>
      <c r="AB23"/>
      <c r="AC23"/>
      <c r="AD23"/>
      <c r="AE23"/>
      <c r="AF23"/>
      <c r="AG23"/>
      <c r="AH23"/>
      <c r="AI23"/>
      <c r="AJ23"/>
      <c r="AK23"/>
      <c r="AL23"/>
      <c r="AM23"/>
      <c r="AN23"/>
    </row>
    <row r="24" spans="1:40" s="83" customFormat="1" x14ac:dyDescent="0.25">
      <c r="A24" s="29"/>
      <c r="B24" s="29"/>
      <c r="C24" s="29"/>
      <c r="D24" s="29"/>
      <c r="E24" s="29"/>
      <c r="F24" s="29"/>
      <c r="G24" s="29"/>
      <c r="H24" s="29"/>
      <c r="I24" s="29"/>
      <c r="J24" s="29"/>
      <c r="K24" s="29"/>
      <c r="L24" s="29"/>
      <c r="M24" s="29"/>
      <c r="N24" s="29"/>
      <c r="O24" s="29"/>
      <c r="P24" s="29"/>
      <c r="Q24" s="29"/>
      <c r="R24"/>
      <c r="S24" s="5" t="s">
        <v>210</v>
      </c>
      <c r="T24" s="5">
        <v>10</v>
      </c>
      <c r="U24" s="5" t="s">
        <v>45</v>
      </c>
      <c r="V24"/>
      <c r="W24"/>
      <c r="X24"/>
      <c r="Y24"/>
      <c r="Z24"/>
      <c r="AA24"/>
      <c r="AB24"/>
      <c r="AC24"/>
      <c r="AD24"/>
      <c r="AE24"/>
      <c r="AF24"/>
      <c r="AG24"/>
      <c r="AH24"/>
      <c r="AI24"/>
      <c r="AJ24"/>
      <c r="AK24"/>
      <c r="AL24"/>
      <c r="AM24"/>
      <c r="AN24"/>
    </row>
    <row r="25" spans="1:40" s="83" customFormat="1" x14ac:dyDescent="0.25">
      <c r="A25" s="29"/>
      <c r="B25" s="29"/>
      <c r="C25" s="29"/>
      <c r="D25" s="29"/>
      <c r="E25" s="29"/>
      <c r="F25" s="29"/>
      <c r="G25" s="29"/>
      <c r="H25" s="29"/>
      <c r="I25" s="29"/>
      <c r="J25" s="29"/>
      <c r="K25" s="29"/>
      <c r="L25" s="29"/>
      <c r="M25" s="29"/>
      <c r="N25" s="29"/>
      <c r="O25" s="29"/>
      <c r="P25" s="29"/>
      <c r="Q25" s="29"/>
      <c r="R25"/>
      <c r="S25" s="5" t="s">
        <v>211</v>
      </c>
      <c r="T25" s="5">
        <v>0.3</v>
      </c>
      <c r="U25" s="5" t="s">
        <v>45</v>
      </c>
      <c r="V25"/>
      <c r="W25"/>
      <c r="X25"/>
      <c r="Y25"/>
      <c r="Z25"/>
      <c r="AA25"/>
      <c r="AB25"/>
      <c r="AC25"/>
      <c r="AD25"/>
      <c r="AE25"/>
      <c r="AF25"/>
      <c r="AG25"/>
      <c r="AH25"/>
      <c r="AI25"/>
      <c r="AJ25"/>
      <c r="AK25"/>
      <c r="AL25"/>
      <c r="AM25"/>
      <c r="AN25"/>
    </row>
    <row r="26" spans="1:40" s="83" customFormat="1" x14ac:dyDescent="0.25">
      <c r="A26" s="29"/>
      <c r="B26" s="29"/>
      <c r="C26" s="29"/>
      <c r="D26" s="29"/>
      <c r="E26" s="29"/>
      <c r="F26" s="29"/>
      <c r="G26" s="29"/>
      <c r="H26" s="29"/>
      <c r="I26" s="29"/>
      <c r="J26" s="29"/>
      <c r="K26" s="29"/>
      <c r="L26" s="29"/>
      <c r="M26" s="29"/>
      <c r="N26" s="29"/>
      <c r="O26" s="29"/>
      <c r="P26" s="29"/>
      <c r="Q26" s="29"/>
      <c r="R26"/>
      <c r="S26" s="80" t="s">
        <v>384</v>
      </c>
      <c r="T26" s="5">
        <v>0</v>
      </c>
      <c r="U26" s="5"/>
      <c r="V26" s="1"/>
      <c r="W26"/>
      <c r="X26"/>
      <c r="Y26"/>
      <c r="Z26"/>
      <c r="AA26"/>
      <c r="AB26"/>
      <c r="AC26"/>
      <c r="AD26"/>
      <c r="AE26"/>
      <c r="AF26"/>
      <c r="AG26"/>
      <c r="AH26"/>
      <c r="AI26"/>
      <c r="AJ26"/>
      <c r="AK26"/>
      <c r="AL26"/>
      <c r="AM26"/>
      <c r="AN26"/>
    </row>
    <row r="27" spans="1:40" s="83" customFormat="1" x14ac:dyDescent="0.25">
      <c r="A27" s="29"/>
      <c r="B27" s="29"/>
      <c r="C27" s="29"/>
      <c r="D27" s="29"/>
      <c r="E27" s="29"/>
      <c r="F27" s="29"/>
      <c r="G27" s="29"/>
      <c r="H27" s="29"/>
      <c r="I27" s="29"/>
      <c r="J27" s="29"/>
      <c r="K27" s="29"/>
      <c r="L27" s="29"/>
      <c r="M27" s="29"/>
      <c r="N27" s="29"/>
      <c r="O27" s="29"/>
      <c r="P27" s="29"/>
      <c r="Q27" s="29"/>
      <c r="R27"/>
      <c r="S27" s="5" t="s">
        <v>196</v>
      </c>
      <c r="T27" s="5" t="s">
        <v>208</v>
      </c>
      <c r="U27" s="5" t="s">
        <v>200</v>
      </c>
      <c r="V27"/>
      <c r="W27"/>
      <c r="X27"/>
      <c r="Y27"/>
      <c r="Z27"/>
      <c r="AA27"/>
      <c r="AB27"/>
      <c r="AC27"/>
      <c r="AD27"/>
      <c r="AE27"/>
      <c r="AF27"/>
      <c r="AG27"/>
      <c r="AH27"/>
      <c r="AI27"/>
      <c r="AJ27"/>
      <c r="AK27"/>
      <c r="AL27"/>
      <c r="AM27"/>
      <c r="AN27"/>
    </row>
    <row r="28" spans="1:40" s="83" customFormat="1" x14ac:dyDescent="0.25">
      <c r="A28" s="29"/>
      <c r="B28" s="29"/>
      <c r="C28" s="29"/>
      <c r="D28" s="29"/>
      <c r="E28" s="29"/>
      <c r="F28" s="29"/>
      <c r="G28" s="29"/>
      <c r="H28" s="29"/>
      <c r="I28" s="29"/>
      <c r="J28" s="29"/>
      <c r="K28" s="29"/>
      <c r="L28" s="29"/>
      <c r="M28" s="29"/>
      <c r="N28" s="29"/>
      <c r="O28" s="29"/>
      <c r="P28" s="29"/>
      <c r="Q28" s="29"/>
      <c r="R28"/>
      <c r="S28" s="5" t="s">
        <v>201</v>
      </c>
      <c r="T28" s="5">
        <v>5</v>
      </c>
      <c r="U28" s="5" t="s">
        <v>45</v>
      </c>
      <c r="V28" s="1"/>
      <c r="W28"/>
      <c r="X28"/>
      <c r="Y28"/>
      <c r="Z28"/>
      <c r="AA28"/>
      <c r="AB28"/>
      <c r="AC28"/>
      <c r="AD28"/>
      <c r="AE28"/>
      <c r="AF28"/>
      <c r="AG28"/>
      <c r="AH28"/>
      <c r="AI28"/>
      <c r="AJ28"/>
      <c r="AK28"/>
      <c r="AL28"/>
      <c r="AM28"/>
      <c r="AN28"/>
    </row>
    <row r="29" spans="1:40" s="83" customFormat="1" x14ac:dyDescent="0.25">
      <c r="A29" s="29"/>
      <c r="B29" s="29"/>
      <c r="C29" s="29"/>
      <c r="D29" s="29"/>
      <c r="E29" s="29"/>
      <c r="F29" s="29"/>
      <c r="G29" s="29"/>
      <c r="H29" s="29"/>
      <c r="I29" s="29"/>
      <c r="J29" s="29"/>
      <c r="K29" s="29"/>
      <c r="L29" s="29"/>
      <c r="M29" s="29"/>
      <c r="N29" s="29"/>
      <c r="O29" s="29"/>
      <c r="P29" s="29"/>
      <c r="Q29" s="29"/>
      <c r="R29"/>
      <c r="S29" s="5" t="s">
        <v>202</v>
      </c>
      <c r="T29" s="5">
        <v>7</v>
      </c>
      <c r="U29" s="5" t="s">
        <v>100</v>
      </c>
      <c r="V29"/>
      <c r="W29"/>
      <c r="X29"/>
      <c r="Y29"/>
      <c r="Z29"/>
      <c r="AA29"/>
      <c r="AB29"/>
      <c r="AC29"/>
      <c r="AD29"/>
      <c r="AE29"/>
      <c r="AF29"/>
      <c r="AG29"/>
      <c r="AH29"/>
      <c r="AI29"/>
      <c r="AJ29"/>
      <c r="AK29"/>
      <c r="AL29"/>
      <c r="AM29"/>
      <c r="AN29"/>
    </row>
    <row r="30" spans="1:40" s="83" customFormat="1" x14ac:dyDescent="0.25">
      <c r="A30" s="29"/>
      <c r="B30" s="29"/>
      <c r="C30" s="29"/>
      <c r="D30" s="29"/>
      <c r="E30" s="29"/>
      <c r="F30" s="29"/>
      <c r="G30" s="29"/>
      <c r="H30" s="29"/>
      <c r="I30" s="29"/>
      <c r="J30" s="29"/>
      <c r="K30" s="29"/>
      <c r="L30" s="29"/>
      <c r="M30" s="29"/>
      <c r="N30" s="29"/>
      <c r="O30" s="29"/>
      <c r="P30" s="29"/>
      <c r="Q30" s="29"/>
      <c r="R30"/>
      <c r="S30" s="5" t="s">
        <v>203</v>
      </c>
      <c r="T30" s="5">
        <v>2500</v>
      </c>
      <c r="U30" s="5" t="s">
        <v>46</v>
      </c>
      <c r="V30"/>
      <c r="W30"/>
      <c r="X30"/>
      <c r="Y30"/>
      <c r="Z30"/>
      <c r="AA30"/>
      <c r="AB30"/>
      <c r="AC30"/>
      <c r="AD30"/>
      <c r="AE30"/>
      <c r="AF30"/>
      <c r="AG30"/>
      <c r="AH30"/>
      <c r="AI30"/>
      <c r="AJ30"/>
      <c r="AK30"/>
      <c r="AL30"/>
      <c r="AM30"/>
      <c r="AN30"/>
    </row>
    <row r="31" spans="1:40" s="83" customFormat="1" x14ac:dyDescent="0.25">
      <c r="A31" s="29"/>
      <c r="B31" s="29"/>
      <c r="C31" s="29"/>
      <c r="D31" s="29"/>
      <c r="E31" s="29"/>
      <c r="F31" s="29"/>
      <c r="G31" s="29"/>
      <c r="H31" s="29"/>
      <c r="I31" s="29"/>
      <c r="J31" s="29"/>
      <c r="K31" s="29"/>
      <c r="L31" s="29"/>
      <c r="M31" s="29"/>
      <c r="N31" s="29"/>
      <c r="O31" s="29"/>
      <c r="P31" s="29"/>
      <c r="Q31" s="29"/>
      <c r="R31"/>
      <c r="S31" s="5" t="s">
        <v>204</v>
      </c>
      <c r="T31" s="5">
        <f>-T29</f>
        <v>-7</v>
      </c>
      <c r="U31" s="5" t="s">
        <v>100</v>
      </c>
      <c r="V31"/>
      <c r="W31"/>
      <c r="X31"/>
      <c r="Y31"/>
      <c r="Z31"/>
      <c r="AA31"/>
      <c r="AB31"/>
      <c r="AC31"/>
      <c r="AD31"/>
      <c r="AE31"/>
      <c r="AF31"/>
      <c r="AG31"/>
      <c r="AH31"/>
      <c r="AI31"/>
      <c r="AJ31"/>
      <c r="AK31"/>
      <c r="AL31"/>
      <c r="AM31"/>
      <c r="AN31"/>
    </row>
    <row r="32" spans="1:40" s="83" customFormat="1" x14ac:dyDescent="0.25">
      <c r="A32" s="29"/>
      <c r="B32" s="29"/>
      <c r="C32" s="29"/>
      <c r="D32" s="29"/>
      <c r="E32" s="29"/>
      <c r="F32" s="29"/>
      <c r="G32" s="29"/>
      <c r="H32" s="29"/>
      <c r="I32" s="29"/>
      <c r="J32" s="29"/>
      <c r="K32" s="29"/>
      <c r="L32" s="29"/>
      <c r="M32" s="29"/>
      <c r="N32" s="29"/>
      <c r="O32" s="29"/>
      <c r="P32" s="29"/>
      <c r="Q32" s="29"/>
      <c r="R32"/>
      <c r="S32" s="3" t="s">
        <v>205</v>
      </c>
      <c r="T32" s="3">
        <f>T30</f>
        <v>2500</v>
      </c>
      <c r="U32" s="5" t="s">
        <v>46</v>
      </c>
      <c r="V32"/>
      <c r="W32"/>
      <c r="X32"/>
      <c r="Y32"/>
      <c r="Z32"/>
      <c r="AA32"/>
      <c r="AB32"/>
      <c r="AC32"/>
      <c r="AD32"/>
      <c r="AE32"/>
      <c r="AF32"/>
      <c r="AG32"/>
      <c r="AH32"/>
      <c r="AI32"/>
      <c r="AJ32"/>
      <c r="AK32"/>
      <c r="AL32"/>
      <c r="AM32"/>
      <c r="AN32"/>
    </row>
    <row r="33" spans="1:40" s="83" customFormat="1" x14ac:dyDescent="0.25">
      <c r="A33" s="29"/>
      <c r="B33" s="29"/>
      <c r="C33" s="29"/>
      <c r="D33" s="29"/>
      <c r="E33" s="29"/>
      <c r="F33" s="29"/>
      <c r="G33" s="29"/>
      <c r="H33" s="29"/>
      <c r="I33" s="29"/>
      <c r="J33" s="29"/>
      <c r="K33" s="29"/>
      <c r="L33" s="29"/>
      <c r="M33" s="29"/>
      <c r="N33" s="29"/>
      <c r="O33" s="29"/>
      <c r="P33" s="29"/>
      <c r="Q33" s="29"/>
      <c r="R33"/>
      <c r="S33" s="3" t="s">
        <v>206</v>
      </c>
      <c r="T33" s="3">
        <v>0.2</v>
      </c>
      <c r="U33" s="5" t="s">
        <v>45</v>
      </c>
      <c r="V33"/>
      <c r="W33"/>
      <c r="X33"/>
      <c r="Y33"/>
      <c r="Z33"/>
      <c r="AA33"/>
      <c r="AB33"/>
      <c r="AC33"/>
      <c r="AD33"/>
      <c r="AE33"/>
      <c r="AF33"/>
      <c r="AG33"/>
      <c r="AH33"/>
      <c r="AI33"/>
      <c r="AJ33"/>
      <c r="AK33"/>
      <c r="AL33"/>
      <c r="AM33"/>
      <c r="AN33"/>
    </row>
    <row r="34" spans="1:40" s="83" customFormat="1" x14ac:dyDescent="0.25">
      <c r="A34" s="29"/>
      <c r="B34" s="29"/>
      <c r="C34" s="29"/>
      <c r="D34" s="29"/>
      <c r="E34" s="29"/>
      <c r="F34" s="29"/>
      <c r="G34" s="29"/>
      <c r="H34" s="29"/>
      <c r="I34" s="29"/>
      <c r="J34" s="29"/>
      <c r="K34" s="29"/>
      <c r="L34" s="29"/>
      <c r="M34" s="29"/>
      <c r="N34" s="29"/>
      <c r="O34" s="29"/>
      <c r="P34" s="29"/>
      <c r="Q34" s="29"/>
      <c r="R34"/>
      <c r="S34" s="3" t="s">
        <v>207</v>
      </c>
      <c r="T34" s="3">
        <v>7500</v>
      </c>
      <c r="U34" s="5" t="s">
        <v>46</v>
      </c>
      <c r="V34"/>
      <c r="W34"/>
      <c r="X34"/>
      <c r="Y34"/>
      <c r="Z34"/>
      <c r="AA34"/>
      <c r="AB34"/>
      <c r="AC34"/>
      <c r="AD34"/>
      <c r="AE34"/>
      <c r="AF34"/>
      <c r="AG34"/>
      <c r="AH34"/>
      <c r="AI34"/>
      <c r="AJ34"/>
      <c r="AK34"/>
      <c r="AL34"/>
      <c r="AM34"/>
      <c r="AN34"/>
    </row>
    <row r="35" spans="1:40" x14ac:dyDescent="0.25">
      <c r="A35" s="29"/>
      <c r="B35" s="29"/>
      <c r="C35" s="29"/>
      <c r="D35" s="29"/>
      <c r="E35" s="29"/>
      <c r="F35" s="29"/>
      <c r="G35" s="29"/>
      <c r="H35" s="29"/>
      <c r="I35" s="29"/>
      <c r="J35" s="29"/>
      <c r="K35" s="29"/>
      <c r="L35" s="29"/>
      <c r="M35" s="29"/>
      <c r="N35" s="29"/>
      <c r="O35" s="29"/>
      <c r="P35" s="29"/>
      <c r="Q35" s="29"/>
      <c r="R35"/>
      <c r="S35" s="29"/>
      <c r="T35" s="29"/>
      <c r="U35" s="93"/>
      <c r="V35" s="29"/>
      <c r="W35" s="29"/>
      <c r="X35" s="29"/>
      <c r="Y35" s="29"/>
      <c r="Z35" s="29"/>
      <c r="AA35" s="29"/>
      <c r="AB35" s="29"/>
      <c r="AC35" s="29"/>
      <c r="AD35"/>
      <c r="AE35" s="29"/>
      <c r="AF35" s="29"/>
      <c r="AG35"/>
      <c r="AH35"/>
      <c r="AI35"/>
      <c r="AJ35"/>
      <c r="AK35"/>
      <c r="AL35"/>
      <c r="AM35"/>
      <c r="AN35"/>
    </row>
    <row r="36" spans="1:40" x14ac:dyDescent="0.25">
      <c r="A36" s="29"/>
      <c r="B36" s="29"/>
      <c r="C36" s="29"/>
      <c r="D36" s="29"/>
      <c r="E36" s="29"/>
      <c r="F36" s="29"/>
      <c r="G36" s="29"/>
      <c r="H36" s="29"/>
      <c r="I36" s="29"/>
      <c r="J36" s="29"/>
      <c r="K36" s="29"/>
      <c r="L36" s="29"/>
      <c r="M36" s="29"/>
      <c r="N36" s="29"/>
      <c r="O36" s="29"/>
      <c r="P36" s="29"/>
      <c r="Q36" s="29"/>
      <c r="R36"/>
      <c r="S36" s="98" t="s">
        <v>336</v>
      </c>
      <c r="T36" s="98" t="s">
        <v>337</v>
      </c>
      <c r="U36" s="99" t="s">
        <v>375</v>
      </c>
      <c r="V36" s="29"/>
      <c r="W36" s="29"/>
      <c r="X36" s="29"/>
      <c r="Y36" s="29"/>
      <c r="Z36" s="29"/>
      <c r="AA36" s="29"/>
      <c r="AB36" s="29"/>
      <c r="AC36" s="29"/>
      <c r="AD36" s="29"/>
      <c r="AE36" s="29"/>
      <c r="AF36" s="29"/>
      <c r="AG36"/>
      <c r="AH36"/>
      <c r="AI36"/>
      <c r="AJ36"/>
      <c r="AK36"/>
      <c r="AL36"/>
      <c r="AM36"/>
      <c r="AN36"/>
    </row>
    <row r="37" spans="1:40" x14ac:dyDescent="0.25">
      <c r="A37" s="29"/>
      <c r="B37" s="29"/>
      <c r="C37" s="29"/>
      <c r="D37" s="29"/>
      <c r="E37" s="29"/>
      <c r="F37" s="29"/>
      <c r="G37" s="29"/>
      <c r="H37" s="29"/>
      <c r="I37" s="29"/>
      <c r="J37" s="29"/>
      <c r="K37" s="29"/>
      <c r="L37" s="29"/>
      <c r="M37" s="29"/>
      <c r="N37" s="29"/>
      <c r="O37" s="29"/>
      <c r="P37" s="29"/>
      <c r="Q37" s="29"/>
      <c r="R37" s="29"/>
      <c r="S37" s="77"/>
      <c r="T37" s="77"/>
      <c r="U37" s="94"/>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c r="T38" s="77"/>
      <c r="U38" s="94"/>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7"/>
      <c r="T39" s="77"/>
      <c r="U39" s="94"/>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7"/>
      <c r="T40" s="77"/>
      <c r="U40" s="94"/>
      <c r="V40" s="29"/>
      <c r="W40" s="29"/>
      <c r="X40" s="29"/>
      <c r="Y40" s="29"/>
      <c r="Z40" s="29"/>
      <c r="AA40" s="29"/>
      <c r="AB40" s="29"/>
      <c r="AC40" s="29"/>
      <c r="AD40" s="29"/>
      <c r="AE40" s="29"/>
      <c r="AF40" s="29"/>
      <c r="AG40" s="29"/>
      <c r="AH40" s="29"/>
      <c r="AI40" s="29"/>
      <c r="AJ40" s="29"/>
      <c r="AK40" s="29"/>
      <c r="AL40" s="29"/>
      <c r="AM40" s="29"/>
      <c r="AN40" s="29"/>
    </row>
  </sheetData>
  <sheetProtection formatCells="0" formatColumns="0" formatRows="0" insertColumns="0" insertRows="0" insertHyperlinks="0" deleteColumns="0" deleteRows="0" sort="0" autoFilter="0" pivotTables="0"/>
  <mergeCells count="1">
    <mergeCell ref="B1:F1"/>
  </mergeCells>
  <phoneticPr fontId="9" type="noConversion"/>
  <conditionalFormatting sqref="W102:W1048576 W1:W5">
    <cfRule type="aboveAverage" dxfId="5" priority="250"/>
  </conditionalFormatting>
  <conditionalFormatting sqref="C7 C19:C40">
    <cfRule type="aboveAverage" dxfId="4" priority="1"/>
  </conditionalFormatting>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F9E4DF-F817-48DF-8CA2-1A2A1D6C4994}">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987FCC-B137-4F19-8819-7296F010E76D}">
  <sheetPr codeName="Sheet5"/>
  <dimension ref="A3:AT103"/>
  <sheetViews>
    <sheetView workbookViewId="0">
      <selection activeCell="A71" sqref="A71:AN103"/>
    </sheetView>
  </sheetViews>
  <sheetFormatPr defaultRowHeight="15" x14ac:dyDescent="0.25"/>
  <sheetData>
    <row r="3" spans="1:46" x14ac:dyDescent="0.25">
      <c r="A3" s="59" t="s">
        <v>171</v>
      </c>
      <c r="B3" s="2" t="s">
        <v>392</v>
      </c>
      <c r="C3" s="59" t="s">
        <v>170</v>
      </c>
      <c r="D3" s="2" t="s">
        <v>393</v>
      </c>
      <c r="U3" s="91"/>
      <c r="AO3" t="s">
        <v>172</v>
      </c>
      <c r="AP3" t="s">
        <v>394</v>
      </c>
      <c r="AQ3" t="s">
        <v>171</v>
      </c>
      <c r="AR3" t="s">
        <v>392</v>
      </c>
      <c r="AS3" t="s">
        <v>170</v>
      </c>
      <c r="AT3" t="s">
        <v>393</v>
      </c>
    </row>
    <row r="4" spans="1:46" x14ac:dyDescent="0.25">
      <c r="A4" s="40" t="s">
        <v>0</v>
      </c>
      <c r="B4" s="2"/>
      <c r="C4" s="2"/>
      <c r="D4" s="2"/>
      <c r="E4" s="2"/>
      <c r="F4" s="2"/>
      <c r="G4" s="2"/>
      <c r="H4" s="2"/>
      <c r="I4" s="2"/>
      <c r="J4" s="2"/>
      <c r="K4" s="2"/>
      <c r="L4" s="2"/>
      <c r="M4" s="2"/>
      <c r="N4" s="2"/>
      <c r="O4" s="2"/>
      <c r="P4" s="2"/>
      <c r="Q4" s="59" t="s">
        <v>333</v>
      </c>
      <c r="U4" s="91"/>
    </row>
    <row r="5" spans="1:46" x14ac:dyDescent="0.25">
      <c r="A5" s="10">
        <v>1</v>
      </c>
      <c r="B5" s="10" t="s">
        <v>10</v>
      </c>
      <c r="C5" s="10">
        <v>50</v>
      </c>
      <c r="D5" s="10">
        <v>50</v>
      </c>
      <c r="E5" s="10">
        <v>0</v>
      </c>
      <c r="F5" s="10">
        <v>3</v>
      </c>
      <c r="G5" s="10">
        <v>0</v>
      </c>
      <c r="H5" s="10">
        <v>360</v>
      </c>
      <c r="I5" s="10" t="s">
        <v>21</v>
      </c>
      <c r="J5" s="10">
        <v>32</v>
      </c>
      <c r="K5" s="10">
        <v>0.4</v>
      </c>
      <c r="L5" s="10">
        <v>0.2</v>
      </c>
      <c r="M5" s="10"/>
      <c r="N5" s="10"/>
      <c r="O5" s="10"/>
      <c r="P5" s="10"/>
      <c r="Q5" s="10" t="s">
        <v>432</v>
      </c>
      <c r="S5" s="97" t="s">
        <v>41</v>
      </c>
      <c r="T5" s="3"/>
      <c r="U5" s="5"/>
    </row>
    <row r="6" spans="1:46" x14ac:dyDescent="0.25">
      <c r="A6" s="10">
        <v>2</v>
      </c>
      <c r="B6" s="10" t="s">
        <v>1</v>
      </c>
      <c r="C6" s="10" t="s">
        <v>19</v>
      </c>
      <c r="D6" s="10" t="s">
        <v>126</v>
      </c>
      <c r="E6" s="10" t="s">
        <v>126</v>
      </c>
      <c r="F6" s="10" t="s">
        <v>126</v>
      </c>
      <c r="G6" s="10" t="s">
        <v>391</v>
      </c>
      <c r="H6" s="10" t="s">
        <v>126</v>
      </c>
      <c r="I6" s="10" t="s">
        <v>126</v>
      </c>
      <c r="J6" s="10" t="s">
        <v>20</v>
      </c>
      <c r="K6" s="10">
        <v>0.4</v>
      </c>
      <c r="L6" s="10">
        <v>0.2</v>
      </c>
      <c r="M6" s="10"/>
      <c r="N6" s="10"/>
      <c r="O6" s="10"/>
      <c r="P6" s="10"/>
      <c r="Q6" s="10" t="s">
        <v>431</v>
      </c>
      <c r="S6" s="5" t="s">
        <v>124</v>
      </c>
      <c r="T6" s="5">
        <v>0.2</v>
      </c>
      <c r="U6" s="5" t="s">
        <v>45</v>
      </c>
    </row>
    <row r="7" spans="1:46" x14ac:dyDescent="0.25">
      <c r="A7" s="10">
        <v>3</v>
      </c>
      <c r="B7" s="10" t="s">
        <v>57</v>
      </c>
      <c r="C7" s="106" t="s">
        <v>329</v>
      </c>
      <c r="D7" s="10">
        <v>0</v>
      </c>
      <c r="E7" s="10">
        <v>0</v>
      </c>
      <c r="F7" s="10">
        <v>0.2</v>
      </c>
      <c r="G7" s="10">
        <v>150</v>
      </c>
      <c r="H7" s="10"/>
      <c r="I7" s="10"/>
      <c r="J7" s="10"/>
      <c r="K7" s="10"/>
      <c r="L7" s="10"/>
      <c r="M7" s="10"/>
      <c r="N7" s="10"/>
      <c r="O7" s="10"/>
      <c r="P7" s="10"/>
      <c r="Q7" s="10" t="s">
        <v>430</v>
      </c>
      <c r="S7" s="5" t="s">
        <v>97</v>
      </c>
      <c r="T7" s="5">
        <v>1</v>
      </c>
      <c r="U7" s="5" t="s">
        <v>99</v>
      </c>
    </row>
    <row r="8" spans="1:46" x14ac:dyDescent="0.25">
      <c r="A8" s="3">
        <v>4</v>
      </c>
      <c r="B8" s="104" t="s">
        <v>335</v>
      </c>
      <c r="C8" s="3">
        <v>3</v>
      </c>
      <c r="D8" s="105" t="s">
        <v>329</v>
      </c>
      <c r="E8" s="3">
        <v>1</v>
      </c>
      <c r="F8" s="3">
        <v>50</v>
      </c>
      <c r="G8" s="3" t="s">
        <v>27</v>
      </c>
      <c r="H8" s="3">
        <v>50</v>
      </c>
      <c r="I8" s="3">
        <v>50</v>
      </c>
      <c r="J8" s="3">
        <f>90/50</f>
        <v>1.8</v>
      </c>
      <c r="K8" s="3">
        <v>0</v>
      </c>
      <c r="L8" s="3" t="s">
        <v>145</v>
      </c>
      <c r="M8" s="3" t="s">
        <v>145</v>
      </c>
      <c r="N8" s="3"/>
      <c r="O8" s="3"/>
      <c r="P8" s="3"/>
      <c r="Q8" s="3" t="s">
        <v>427</v>
      </c>
      <c r="S8" s="5" t="s">
        <v>98</v>
      </c>
      <c r="T8" s="5">
        <v>1</v>
      </c>
      <c r="U8" s="5" t="s">
        <v>99</v>
      </c>
    </row>
    <row r="9" spans="1:46" x14ac:dyDescent="0.25">
      <c r="A9" s="3">
        <v>5</v>
      </c>
      <c r="B9" s="104" t="s">
        <v>335</v>
      </c>
      <c r="C9" s="3">
        <v>3</v>
      </c>
      <c r="D9" s="105" t="s">
        <v>329</v>
      </c>
      <c r="E9" s="3">
        <v>51</v>
      </c>
      <c r="F9" s="3">
        <v>100</v>
      </c>
      <c r="G9" s="3" t="s">
        <v>27</v>
      </c>
      <c r="H9" s="3">
        <v>50</v>
      </c>
      <c r="I9" s="3">
        <v>50</v>
      </c>
      <c r="J9" s="3">
        <f>-90/50</f>
        <v>-1.8</v>
      </c>
      <c r="K9" s="3">
        <v>0</v>
      </c>
      <c r="L9" s="3" t="s">
        <v>145</v>
      </c>
      <c r="M9" s="3" t="s">
        <v>145</v>
      </c>
      <c r="N9" s="3"/>
      <c r="O9" s="3"/>
      <c r="P9" s="3"/>
      <c r="Q9" s="3" t="s">
        <v>428</v>
      </c>
      <c r="S9" s="5" t="s">
        <v>236</v>
      </c>
      <c r="T9" s="5" t="s">
        <v>247</v>
      </c>
      <c r="U9" s="5"/>
    </row>
    <row r="10" spans="1:46" x14ac:dyDescent="0.25">
      <c r="A10" s="3">
        <v>6</v>
      </c>
      <c r="B10" s="104" t="s">
        <v>335</v>
      </c>
      <c r="C10" s="3">
        <v>3</v>
      </c>
      <c r="D10" s="105" t="s">
        <v>329</v>
      </c>
      <c r="E10" s="3">
        <v>101</v>
      </c>
      <c r="F10" s="3">
        <v>150</v>
      </c>
      <c r="G10" s="3" t="s">
        <v>27</v>
      </c>
      <c r="H10" s="3">
        <v>50</v>
      </c>
      <c r="I10" s="3">
        <v>50</v>
      </c>
      <c r="J10" s="3">
        <f>90/50</f>
        <v>1.8</v>
      </c>
      <c r="K10" s="3">
        <v>0</v>
      </c>
      <c r="L10" s="3" t="s">
        <v>145</v>
      </c>
      <c r="M10" s="3" t="s">
        <v>145</v>
      </c>
      <c r="N10" s="3"/>
      <c r="O10" s="3"/>
      <c r="P10" s="3"/>
      <c r="Q10" s="3" t="s">
        <v>429</v>
      </c>
      <c r="S10" s="5" t="s">
        <v>237</v>
      </c>
      <c r="T10" s="5">
        <v>0</v>
      </c>
      <c r="U10" s="5"/>
    </row>
    <row r="11" spans="1:46" x14ac:dyDescent="0.25">
      <c r="A11" s="14">
        <v>7</v>
      </c>
      <c r="B11" s="107" t="s">
        <v>338</v>
      </c>
      <c r="C11" s="14" t="s">
        <v>395</v>
      </c>
      <c r="D11" s="14" t="s">
        <v>26</v>
      </c>
      <c r="E11" s="14">
        <v>50</v>
      </c>
      <c r="F11" s="14">
        <v>50</v>
      </c>
      <c r="G11" s="14">
        <v>0</v>
      </c>
      <c r="H11" s="14">
        <v>0.4</v>
      </c>
      <c r="I11" s="14" t="s">
        <v>145</v>
      </c>
      <c r="J11" s="14" t="s">
        <v>145</v>
      </c>
      <c r="K11" s="14"/>
      <c r="L11" s="14"/>
      <c r="M11" s="14"/>
      <c r="N11" s="14"/>
      <c r="O11" s="14"/>
      <c r="P11" s="14"/>
      <c r="Q11" s="14" t="s">
        <v>424</v>
      </c>
      <c r="S11" s="58"/>
      <c r="T11" s="58"/>
      <c r="U11" s="92"/>
    </row>
    <row r="12" spans="1:46" x14ac:dyDescent="0.25">
      <c r="A12" s="108">
        <v>8</v>
      </c>
      <c r="B12" s="109" t="s">
        <v>335</v>
      </c>
      <c r="C12" s="108">
        <v>3</v>
      </c>
      <c r="D12" s="110" t="s">
        <v>329</v>
      </c>
      <c r="E12" s="108">
        <v>1</v>
      </c>
      <c r="F12" s="108">
        <v>150</v>
      </c>
      <c r="G12" s="108" t="s">
        <v>213</v>
      </c>
      <c r="H12" s="108">
        <v>50</v>
      </c>
      <c r="I12" s="108">
        <v>50</v>
      </c>
      <c r="J12" s="108">
        <v>0</v>
      </c>
      <c r="K12" s="108" t="s">
        <v>420</v>
      </c>
      <c r="L12" s="108">
        <v>0</v>
      </c>
      <c r="M12" s="108" t="s">
        <v>145</v>
      </c>
      <c r="N12" s="108" t="s">
        <v>145</v>
      </c>
      <c r="O12" s="108"/>
      <c r="P12" s="108"/>
      <c r="Q12" s="108" t="s">
        <v>425</v>
      </c>
      <c r="S12" s="5" t="s">
        <v>383</v>
      </c>
      <c r="T12" s="5">
        <v>60</v>
      </c>
      <c r="U12" s="5" t="s">
        <v>44</v>
      </c>
      <c r="V12" s="1"/>
    </row>
    <row r="13" spans="1:46" x14ac:dyDescent="0.25">
      <c r="A13" s="108">
        <v>9</v>
      </c>
      <c r="B13" s="109" t="s">
        <v>335</v>
      </c>
      <c r="C13" s="108">
        <v>3</v>
      </c>
      <c r="D13" s="110" t="s">
        <v>329</v>
      </c>
      <c r="E13" s="108">
        <v>1</v>
      </c>
      <c r="F13" s="108">
        <v>150</v>
      </c>
      <c r="G13" s="108" t="s">
        <v>180</v>
      </c>
      <c r="H13" s="108" t="s">
        <v>423</v>
      </c>
      <c r="I13" s="108">
        <v>0</v>
      </c>
      <c r="J13" s="108">
        <v>0</v>
      </c>
      <c r="K13" s="108" t="s">
        <v>145</v>
      </c>
      <c r="L13" s="108" t="s">
        <v>145</v>
      </c>
      <c r="M13" s="108"/>
      <c r="N13" s="108"/>
      <c r="O13" s="108"/>
      <c r="P13" s="108"/>
      <c r="Q13" s="108" t="s">
        <v>426</v>
      </c>
      <c r="S13" s="5" t="s">
        <v>95</v>
      </c>
      <c r="T13" s="5">
        <v>1000</v>
      </c>
      <c r="U13" s="5" t="s">
        <v>46</v>
      </c>
    </row>
    <row r="14" spans="1:46" x14ac:dyDescent="0.25">
      <c r="A14" s="77">
        <v>10</v>
      </c>
      <c r="B14" s="111" t="s">
        <v>335</v>
      </c>
      <c r="C14" s="77">
        <v>3</v>
      </c>
      <c r="D14" s="112" t="s">
        <v>329</v>
      </c>
      <c r="E14" s="77">
        <v>151</v>
      </c>
      <c r="F14" s="77">
        <v>200</v>
      </c>
      <c r="G14" s="77" t="s">
        <v>213</v>
      </c>
      <c r="H14" s="77">
        <v>50</v>
      </c>
      <c r="I14" s="77">
        <v>50</v>
      </c>
      <c r="J14" s="77">
        <v>0</v>
      </c>
      <c r="K14" s="77" t="s">
        <v>397</v>
      </c>
      <c r="L14" s="77">
        <v>0</v>
      </c>
      <c r="M14" s="77" t="s">
        <v>145</v>
      </c>
      <c r="N14" s="77" t="s">
        <v>145</v>
      </c>
      <c r="O14" s="77"/>
      <c r="P14" s="77"/>
      <c r="Q14" s="77"/>
      <c r="S14" s="5" t="s">
        <v>96</v>
      </c>
      <c r="T14" s="5">
        <v>9000</v>
      </c>
      <c r="U14" s="5" t="s">
        <v>46</v>
      </c>
    </row>
    <row r="15" spans="1:46" x14ac:dyDescent="0.25">
      <c r="A15" s="77">
        <v>11</v>
      </c>
      <c r="B15" s="111" t="s">
        <v>335</v>
      </c>
      <c r="C15" s="77">
        <v>3</v>
      </c>
      <c r="D15" s="112" t="s">
        <v>329</v>
      </c>
      <c r="E15" s="77">
        <v>151</v>
      </c>
      <c r="F15" s="77">
        <v>200</v>
      </c>
      <c r="G15" s="77" t="s">
        <v>180</v>
      </c>
      <c r="H15" s="77">
        <v>0</v>
      </c>
      <c r="I15" s="77">
        <v>0</v>
      </c>
      <c r="J15" s="77" t="s">
        <v>396</v>
      </c>
      <c r="K15" s="77" t="s">
        <v>145</v>
      </c>
      <c r="L15" s="77" t="s">
        <v>145</v>
      </c>
      <c r="M15" s="77"/>
      <c r="N15" s="77"/>
      <c r="O15" s="77"/>
      <c r="P15" s="77"/>
      <c r="Q15" s="77"/>
      <c r="S15" s="5" t="s">
        <v>42</v>
      </c>
      <c r="T15" s="5">
        <v>210</v>
      </c>
      <c r="U15" s="5" t="s">
        <v>44</v>
      </c>
      <c r="V15" s="1"/>
    </row>
    <row r="16" spans="1:46" x14ac:dyDescent="0.25">
      <c r="A16" s="2">
        <v>12</v>
      </c>
      <c r="B16" s="2"/>
      <c r="C16" s="2"/>
      <c r="D16" s="2"/>
      <c r="E16" s="2"/>
      <c r="F16" s="2"/>
      <c r="G16" s="2"/>
      <c r="H16" s="2"/>
      <c r="I16" s="2"/>
      <c r="J16" s="2"/>
      <c r="K16" s="2"/>
      <c r="L16" s="2"/>
      <c r="M16" s="2"/>
      <c r="N16" s="2"/>
      <c r="O16" s="2"/>
      <c r="P16" s="2"/>
      <c r="Q16" s="2"/>
      <c r="S16" s="5" t="s">
        <v>43</v>
      </c>
      <c r="T16" s="5">
        <v>2.85</v>
      </c>
      <c r="U16" s="5" t="s">
        <v>45</v>
      </c>
    </row>
    <row r="17" spans="1:32" x14ac:dyDescent="0.25">
      <c r="A17" s="2">
        <v>13</v>
      </c>
      <c r="B17" s="2"/>
      <c r="C17" s="2"/>
      <c r="D17" s="2"/>
      <c r="E17" s="2"/>
      <c r="F17" s="2"/>
      <c r="G17" s="2"/>
      <c r="H17" s="2"/>
      <c r="I17" s="2"/>
      <c r="J17" s="2"/>
      <c r="K17" s="2"/>
      <c r="L17" s="2"/>
      <c r="M17" s="2"/>
      <c r="N17" s="2"/>
      <c r="O17" s="2"/>
      <c r="P17" s="2"/>
      <c r="Q17" s="2"/>
      <c r="S17" s="5" t="s">
        <v>47</v>
      </c>
      <c r="T17" s="5" t="s">
        <v>91</v>
      </c>
      <c r="U17" s="5" t="s">
        <v>100</v>
      </c>
    </row>
    <row r="18" spans="1:32" x14ac:dyDescent="0.25">
      <c r="A18" s="2">
        <v>14</v>
      </c>
      <c r="B18" s="2"/>
      <c r="C18" s="2"/>
      <c r="D18" s="2"/>
      <c r="E18" s="2"/>
      <c r="F18" s="2"/>
      <c r="G18" s="2"/>
      <c r="H18" s="2"/>
      <c r="I18" s="2"/>
      <c r="J18" s="2"/>
      <c r="K18" s="2"/>
      <c r="L18" s="2"/>
      <c r="M18" s="2"/>
      <c r="N18" s="2"/>
      <c r="O18" s="2"/>
      <c r="P18" s="2"/>
      <c r="Q18" s="2"/>
      <c r="S18" s="5" t="s">
        <v>134</v>
      </c>
      <c r="T18" s="5" t="s">
        <v>195</v>
      </c>
      <c r="U18" s="5"/>
    </row>
    <row r="19" spans="1:32" x14ac:dyDescent="0.25">
      <c r="A19" s="2">
        <v>15</v>
      </c>
      <c r="B19" s="2"/>
      <c r="C19" s="2"/>
      <c r="D19" s="2"/>
      <c r="E19" s="2"/>
      <c r="F19" s="2"/>
      <c r="G19" s="2"/>
      <c r="H19" s="2"/>
      <c r="I19" s="2"/>
      <c r="J19" s="2"/>
      <c r="K19" s="2"/>
      <c r="L19" s="2"/>
      <c r="M19" s="2"/>
      <c r="N19" s="2"/>
      <c r="O19" s="2"/>
      <c r="P19" s="2"/>
      <c r="Q19" s="2"/>
      <c r="S19" s="5" t="s">
        <v>194</v>
      </c>
      <c r="T19" s="5" t="s">
        <v>165</v>
      </c>
      <c r="U19" s="5"/>
    </row>
    <row r="20" spans="1:32" x14ac:dyDescent="0.25">
      <c r="A20" s="29"/>
      <c r="B20" s="29"/>
      <c r="C20" s="29"/>
      <c r="D20" s="29"/>
      <c r="E20" s="29"/>
      <c r="F20" s="29"/>
      <c r="G20" s="29"/>
      <c r="H20" s="29"/>
      <c r="I20" s="29"/>
      <c r="J20" s="29"/>
      <c r="K20" s="29"/>
      <c r="L20" s="29"/>
      <c r="M20" s="29"/>
      <c r="N20" s="29"/>
      <c r="O20" s="29"/>
      <c r="P20" s="29"/>
      <c r="Q20" s="29"/>
      <c r="S20" s="5" t="s">
        <v>209</v>
      </c>
      <c r="T20" s="5">
        <v>20</v>
      </c>
      <c r="U20" s="5" t="s">
        <v>45</v>
      </c>
    </row>
    <row r="21" spans="1:32" x14ac:dyDescent="0.25">
      <c r="A21" s="29"/>
      <c r="B21" s="29"/>
      <c r="C21" s="29"/>
      <c r="D21" s="29"/>
      <c r="E21" s="29"/>
      <c r="F21" s="29"/>
      <c r="G21" s="29"/>
      <c r="H21" s="29"/>
      <c r="I21" s="29"/>
      <c r="J21" s="29"/>
      <c r="K21" s="29"/>
      <c r="L21" s="29"/>
      <c r="M21" s="29"/>
      <c r="N21" s="29"/>
      <c r="O21" s="29"/>
      <c r="P21" s="29"/>
      <c r="Q21" s="29"/>
      <c r="S21" s="5" t="s">
        <v>210</v>
      </c>
      <c r="T21" s="5">
        <v>10</v>
      </c>
      <c r="U21" s="5" t="s">
        <v>45</v>
      </c>
    </row>
    <row r="22" spans="1:32" x14ac:dyDescent="0.25">
      <c r="A22" s="29"/>
      <c r="B22" s="29"/>
      <c r="C22" s="29"/>
      <c r="D22" s="29"/>
      <c r="E22" s="29"/>
      <c r="F22" s="29"/>
      <c r="G22" s="29"/>
      <c r="H22" s="29"/>
      <c r="I22" s="29"/>
      <c r="J22" s="29"/>
      <c r="K22" s="29"/>
      <c r="L22" s="29"/>
      <c r="M22" s="29"/>
      <c r="N22" s="29"/>
      <c r="O22" s="29"/>
      <c r="P22" s="29"/>
      <c r="Q22" s="29"/>
      <c r="S22" s="5" t="s">
        <v>211</v>
      </c>
      <c r="T22" s="5">
        <v>0.3</v>
      </c>
      <c r="U22" s="5" t="s">
        <v>45</v>
      </c>
    </row>
    <row r="23" spans="1:32" x14ac:dyDescent="0.25">
      <c r="A23" s="29"/>
      <c r="B23" s="29"/>
      <c r="C23" s="29"/>
      <c r="D23" s="29"/>
      <c r="E23" s="29"/>
      <c r="F23" s="29"/>
      <c r="G23" s="29"/>
      <c r="H23" s="29"/>
      <c r="I23" s="29"/>
      <c r="J23" s="29"/>
      <c r="K23" s="29"/>
      <c r="L23" s="29"/>
      <c r="M23" s="29"/>
      <c r="N23" s="29"/>
      <c r="O23" s="29"/>
      <c r="P23" s="29"/>
      <c r="Q23" s="29"/>
      <c r="S23" s="80" t="s">
        <v>384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196</v>
      </c>
      <c r="T24" s="5" t="s">
        <v>208</v>
      </c>
      <c r="U24" s="5" t="s">
        <v>200</v>
      </c>
    </row>
    <row r="25" spans="1:32" x14ac:dyDescent="0.25">
      <c r="A25" s="29"/>
      <c r="B25" s="29"/>
      <c r="C25" s="29"/>
      <c r="D25" s="29"/>
      <c r="E25" s="29"/>
      <c r="F25" s="29"/>
      <c r="G25" s="29"/>
      <c r="H25" s="29"/>
      <c r="I25" s="29"/>
      <c r="J25" s="29"/>
      <c r="K25" s="29"/>
      <c r="L25" s="29"/>
      <c r="M25" s="29"/>
      <c r="N25" s="29"/>
      <c r="O25" s="29"/>
      <c r="P25" s="29"/>
      <c r="Q25" s="29"/>
      <c r="S25" s="5" t="s">
        <v>201</v>
      </c>
      <c r="T25" s="5">
        <v>5</v>
      </c>
      <c r="U25" s="5" t="s">
        <v>45</v>
      </c>
      <c r="V25" s="1"/>
    </row>
    <row r="26" spans="1:32" x14ac:dyDescent="0.25">
      <c r="A26" s="29"/>
      <c r="B26" s="29"/>
      <c r="C26" s="29"/>
      <c r="D26" s="29"/>
      <c r="E26" s="29"/>
      <c r="F26" s="29"/>
      <c r="G26" s="29"/>
      <c r="H26" s="29"/>
      <c r="I26" s="29"/>
      <c r="J26" s="29"/>
      <c r="K26" s="29"/>
      <c r="L26" s="29"/>
      <c r="M26" s="29"/>
      <c r="N26" s="29"/>
      <c r="O26" s="29"/>
      <c r="P26" s="29"/>
      <c r="Q26" s="29"/>
      <c r="S26" s="5" t="s">
        <v>202</v>
      </c>
      <c r="T26" s="5">
        <v>7</v>
      </c>
      <c r="U26" s="5" t="s">
        <v>100</v>
      </c>
    </row>
    <row r="27" spans="1:32" x14ac:dyDescent="0.25">
      <c r="A27" s="29"/>
      <c r="B27" s="29"/>
      <c r="C27" s="29"/>
      <c r="D27" s="29"/>
      <c r="E27" s="29"/>
      <c r="F27" s="29"/>
      <c r="G27" s="29"/>
      <c r="H27" s="29"/>
      <c r="I27" s="29"/>
      <c r="J27" s="29"/>
      <c r="K27" s="29"/>
      <c r="L27" s="29"/>
      <c r="M27" s="29"/>
      <c r="N27" s="29"/>
      <c r="O27" s="29"/>
      <c r="P27" s="29"/>
      <c r="Q27" s="29"/>
      <c r="S27" s="5" t="s">
        <v>203</v>
      </c>
      <c r="T27" s="5">
        <v>2500</v>
      </c>
      <c r="U27" s="5" t="s">
        <v>46</v>
      </c>
    </row>
    <row r="28" spans="1:32" x14ac:dyDescent="0.25">
      <c r="A28" s="29"/>
      <c r="B28" s="29"/>
      <c r="C28" s="29"/>
      <c r="D28" s="29"/>
      <c r="E28" s="29"/>
      <c r="F28" s="29"/>
      <c r="G28" s="29"/>
      <c r="H28" s="29"/>
      <c r="I28" s="29"/>
      <c r="J28" s="29"/>
      <c r="K28" s="29"/>
      <c r="L28" s="29"/>
      <c r="M28" s="29"/>
      <c r="N28" s="29"/>
      <c r="O28" s="29"/>
      <c r="P28" s="29"/>
      <c r="Q28" s="29"/>
      <c r="S28" s="5" t="s">
        <v>204</v>
      </c>
      <c r="T28" s="5">
        <f>-T26</f>
        <v>-7</v>
      </c>
      <c r="U28" s="5" t="s">
        <v>100</v>
      </c>
    </row>
    <row r="29" spans="1:32" x14ac:dyDescent="0.25">
      <c r="A29" s="29"/>
      <c r="B29" s="29"/>
      <c r="C29" s="29"/>
      <c r="D29" s="29"/>
      <c r="E29" s="29"/>
      <c r="F29" s="29"/>
      <c r="G29" s="29"/>
      <c r="H29" s="29"/>
      <c r="I29" s="29"/>
      <c r="J29" s="29"/>
      <c r="K29" s="29"/>
      <c r="L29" s="29"/>
      <c r="M29" s="29"/>
      <c r="N29" s="29"/>
      <c r="O29" s="29"/>
      <c r="P29" s="29"/>
      <c r="Q29" s="29"/>
      <c r="S29" s="3" t="s">
        <v>205</v>
      </c>
      <c r="T29" s="3">
        <f>T27</f>
        <v>2500</v>
      </c>
      <c r="U29" s="5" t="s">
        <v>46</v>
      </c>
    </row>
    <row r="30" spans="1:32" x14ac:dyDescent="0.25">
      <c r="A30" s="29"/>
      <c r="B30" s="29"/>
      <c r="C30" s="29"/>
      <c r="D30" s="29"/>
      <c r="E30" s="29"/>
      <c r="F30" s="29"/>
      <c r="G30" s="29"/>
      <c r="H30" s="29"/>
      <c r="I30" s="29"/>
      <c r="J30" s="29"/>
      <c r="K30" s="29"/>
      <c r="L30" s="29"/>
      <c r="M30" s="29"/>
      <c r="N30" s="29"/>
      <c r="O30" s="29"/>
      <c r="P30" s="29"/>
      <c r="Q30" s="29"/>
      <c r="S30" s="3" t="s">
        <v>206</v>
      </c>
      <c r="T30" s="3">
        <v>0.2</v>
      </c>
      <c r="U30" s="5" t="s">
        <v>45</v>
      </c>
    </row>
    <row r="31" spans="1:32" x14ac:dyDescent="0.25">
      <c r="A31" s="29"/>
      <c r="B31" s="29"/>
      <c r="C31" s="29"/>
      <c r="D31" s="29"/>
      <c r="E31" s="29"/>
      <c r="F31" s="29"/>
      <c r="G31" s="29"/>
      <c r="H31" s="29"/>
      <c r="I31" s="29"/>
      <c r="J31" s="29"/>
      <c r="K31" s="29"/>
      <c r="L31" s="29"/>
      <c r="M31" s="29"/>
      <c r="N31" s="29"/>
      <c r="O31" s="29"/>
      <c r="P31" s="29"/>
      <c r="Q31" s="29"/>
      <c r="S31" s="3" t="s">
        <v>207</v>
      </c>
      <c r="T31" s="3">
        <v>7500</v>
      </c>
      <c r="U31" s="5" t="s">
        <v>46</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6" x14ac:dyDescent="0.25">
      <c r="A33" s="29"/>
      <c r="B33" s="29"/>
      <c r="C33" s="29"/>
      <c r="D33" s="29"/>
      <c r="E33" s="29"/>
      <c r="F33" s="29"/>
      <c r="G33" s="29"/>
      <c r="H33" s="29"/>
      <c r="I33" s="29"/>
      <c r="J33" s="29"/>
      <c r="K33" s="29"/>
      <c r="L33" s="29"/>
      <c r="M33" s="29"/>
      <c r="N33" s="29"/>
      <c r="O33" s="29"/>
      <c r="P33" s="29"/>
      <c r="Q33" s="29"/>
      <c r="S33" s="98" t="s">
        <v>336</v>
      </c>
      <c r="T33" s="98" t="s">
        <v>337</v>
      </c>
      <c r="U33" s="99" t="s">
        <v>375</v>
      </c>
      <c r="V33" s="29"/>
      <c r="W33" s="29"/>
      <c r="X33" s="29"/>
      <c r="Y33" s="29"/>
      <c r="Z33" s="29"/>
      <c r="AA33" s="29"/>
      <c r="AB33" s="29"/>
      <c r="AC33" s="29"/>
      <c r="AD33" s="29"/>
      <c r="AE33" s="29"/>
      <c r="AF33" s="29"/>
    </row>
    <row r="34" spans="1:46" x14ac:dyDescent="0.25">
      <c r="A34" s="29"/>
      <c r="B34" s="29"/>
      <c r="C34" s="29"/>
      <c r="D34" s="29"/>
      <c r="E34" s="29"/>
      <c r="F34" s="29"/>
      <c r="G34" s="29"/>
      <c r="H34" s="29"/>
      <c r="I34" s="29"/>
      <c r="J34" s="29"/>
      <c r="K34" s="29"/>
      <c r="L34" s="29"/>
      <c r="M34" s="29"/>
      <c r="N34" s="29"/>
      <c r="O34" s="29"/>
      <c r="P34" s="29"/>
      <c r="Q34" s="29"/>
      <c r="R34" s="29"/>
      <c r="S34" s="77"/>
      <c r="T34" s="77"/>
      <c r="U34" s="94" t="s">
        <v>136</v>
      </c>
      <c r="V34" s="29"/>
      <c r="W34" s="29"/>
      <c r="X34" s="29"/>
      <c r="Y34" s="29"/>
      <c r="Z34" s="29"/>
      <c r="AA34" s="29"/>
      <c r="AB34" s="29"/>
      <c r="AC34" s="29"/>
      <c r="AD34" s="29"/>
      <c r="AE34" s="29"/>
      <c r="AF34" s="29"/>
      <c r="AG34" s="29"/>
      <c r="AH34" s="29"/>
      <c r="AI34" s="29"/>
      <c r="AJ34" s="29"/>
      <c r="AK34" s="29"/>
      <c r="AL34" s="29"/>
      <c r="AM34" s="29"/>
      <c r="AN34" s="29"/>
    </row>
    <row r="35" spans="1:46" x14ac:dyDescent="0.25">
      <c r="A35" s="29"/>
      <c r="B35" s="29"/>
      <c r="C35" s="29"/>
      <c r="D35" s="29"/>
      <c r="E35" s="29"/>
      <c r="F35" s="29"/>
      <c r="G35" s="29"/>
      <c r="H35" s="29"/>
      <c r="I35" s="29"/>
      <c r="J35" s="29"/>
      <c r="K35" s="29"/>
      <c r="L35" s="29"/>
      <c r="M35" s="29"/>
      <c r="N35" s="29"/>
      <c r="O35" s="29"/>
      <c r="P35" s="29"/>
      <c r="Q35" s="29"/>
      <c r="R35" s="29"/>
      <c r="S35" s="77"/>
      <c r="T35" s="77"/>
      <c r="U35" s="94" t="s">
        <v>136</v>
      </c>
      <c r="V35" s="29"/>
      <c r="W35" s="29"/>
      <c r="X35" s="29"/>
      <c r="Y35" s="29"/>
      <c r="Z35" s="29"/>
      <c r="AA35" s="29"/>
      <c r="AB35" s="29"/>
      <c r="AC35" s="29"/>
      <c r="AD35" s="29"/>
      <c r="AE35" s="29"/>
      <c r="AF35" s="29"/>
      <c r="AG35" s="29"/>
      <c r="AH35" s="29"/>
      <c r="AI35" s="29"/>
      <c r="AJ35" s="29"/>
      <c r="AK35" s="29"/>
      <c r="AL35" s="29"/>
      <c r="AM35" s="29"/>
      <c r="AN35" s="29"/>
    </row>
    <row r="36" spans="1:46" x14ac:dyDescent="0.25">
      <c r="A36" s="29"/>
      <c r="B36" s="29"/>
      <c r="C36" s="29"/>
      <c r="D36" s="29"/>
      <c r="E36" s="29"/>
      <c r="F36" s="29"/>
      <c r="G36" s="29"/>
      <c r="H36" s="29"/>
      <c r="I36" s="29"/>
      <c r="J36" s="29"/>
      <c r="K36" s="29"/>
      <c r="L36" s="29"/>
      <c r="M36" s="29"/>
      <c r="N36" s="29"/>
      <c r="O36" s="29"/>
      <c r="P36" s="29"/>
      <c r="Q36" s="29"/>
      <c r="R36" s="29"/>
      <c r="U36" s="91"/>
      <c r="V36" s="29"/>
      <c r="W36" s="29"/>
      <c r="X36" s="29"/>
      <c r="Y36" s="29"/>
      <c r="Z36" s="29"/>
      <c r="AA36" s="29"/>
      <c r="AB36" s="29"/>
      <c r="AC36" s="29"/>
      <c r="AD36" s="29"/>
      <c r="AE36" s="29"/>
      <c r="AF36" s="29"/>
      <c r="AG36" s="29"/>
      <c r="AH36" s="29"/>
      <c r="AI36" s="29"/>
      <c r="AJ36" s="29"/>
      <c r="AK36" s="29"/>
      <c r="AL36" s="29"/>
      <c r="AM36" s="29"/>
      <c r="AN36" s="29"/>
    </row>
    <row r="37" spans="1:46" x14ac:dyDescent="0.25">
      <c r="A37" s="59" t="s">
        <v>171</v>
      </c>
      <c r="B37" s="2" t="s">
        <v>417</v>
      </c>
      <c r="C37" s="59" t="s">
        <v>170</v>
      </c>
      <c r="D37" s="2" t="s">
        <v>393</v>
      </c>
      <c r="U37" s="91"/>
      <c r="AO37" t="s">
        <v>172</v>
      </c>
      <c r="AP37" t="s">
        <v>418</v>
      </c>
      <c r="AQ37" t="s">
        <v>171</v>
      </c>
      <c r="AR37" t="s">
        <v>417</v>
      </c>
      <c r="AS37" t="s">
        <v>170</v>
      </c>
      <c r="AT37" t="s">
        <v>393</v>
      </c>
    </row>
    <row r="38" spans="1:46" x14ac:dyDescent="0.25">
      <c r="A38" s="40" t="s">
        <v>0</v>
      </c>
      <c r="B38" s="2"/>
      <c r="C38" s="2"/>
      <c r="D38" s="2"/>
      <c r="E38" s="2"/>
      <c r="F38" s="2"/>
      <c r="G38" s="2"/>
      <c r="H38" s="2"/>
      <c r="I38" s="2"/>
      <c r="J38" s="2"/>
      <c r="K38" s="2"/>
      <c r="L38" s="2"/>
      <c r="M38" s="2"/>
      <c r="N38" s="2"/>
      <c r="O38" s="2"/>
      <c r="P38" s="2"/>
      <c r="Q38" s="59" t="s">
        <v>333</v>
      </c>
      <c r="U38" s="91"/>
    </row>
    <row r="39" spans="1:46" x14ac:dyDescent="0.25">
      <c r="A39" s="2">
        <v>1</v>
      </c>
      <c r="B39" s="10" t="s">
        <v>9</v>
      </c>
      <c r="C39" s="10">
        <v>50</v>
      </c>
      <c r="D39" s="10">
        <v>50</v>
      </c>
      <c r="E39" s="10" t="s">
        <v>389</v>
      </c>
      <c r="F39" s="10" t="s">
        <v>401</v>
      </c>
      <c r="G39" s="10">
        <v>0</v>
      </c>
      <c r="H39" s="10" t="s">
        <v>21</v>
      </c>
      <c r="I39" s="10">
        <v>0.4</v>
      </c>
      <c r="J39" s="10">
        <v>0.2</v>
      </c>
      <c r="K39" s="10"/>
      <c r="L39" s="10"/>
      <c r="M39" s="10"/>
      <c r="N39" s="10"/>
      <c r="O39" s="10"/>
      <c r="P39" s="10"/>
      <c r="Q39" s="10" t="s">
        <v>402</v>
      </c>
      <c r="S39" s="97" t="s">
        <v>41</v>
      </c>
      <c r="T39" s="3"/>
      <c r="U39" s="5"/>
    </row>
    <row r="40" spans="1:46" x14ac:dyDescent="0.25">
      <c r="A40" s="2">
        <v>2</v>
      </c>
      <c r="B40" s="12" t="s">
        <v>1</v>
      </c>
      <c r="C40" s="12" t="s">
        <v>19</v>
      </c>
      <c r="D40" s="12" t="s">
        <v>126</v>
      </c>
      <c r="E40" s="12" t="s">
        <v>126</v>
      </c>
      <c r="F40" s="12" t="s">
        <v>126</v>
      </c>
      <c r="G40" s="12" t="s">
        <v>410</v>
      </c>
      <c r="H40" s="12" t="s">
        <v>126</v>
      </c>
      <c r="I40" s="12" t="s">
        <v>126</v>
      </c>
      <c r="J40" s="12" t="s">
        <v>24</v>
      </c>
      <c r="K40" s="12"/>
      <c r="L40" s="12"/>
      <c r="M40" s="12"/>
      <c r="N40" s="12"/>
      <c r="O40" s="12"/>
      <c r="P40" s="12"/>
      <c r="Q40" s="2" t="s">
        <v>403</v>
      </c>
      <c r="S40" s="5" t="s">
        <v>124</v>
      </c>
      <c r="T40" s="5">
        <v>0.2</v>
      </c>
      <c r="U40" s="5" t="s">
        <v>45</v>
      </c>
    </row>
    <row r="41" spans="1:46" x14ac:dyDescent="0.25">
      <c r="A41" s="2">
        <v>3</v>
      </c>
      <c r="B41" s="15" t="s">
        <v>51</v>
      </c>
      <c r="C41" s="15" t="s">
        <v>419</v>
      </c>
      <c r="D41" s="15">
        <v>1</v>
      </c>
      <c r="E41" s="15" t="s">
        <v>409</v>
      </c>
      <c r="F41" s="15">
        <v>2000</v>
      </c>
      <c r="G41" s="15"/>
      <c r="H41" s="15"/>
      <c r="I41" s="15"/>
      <c r="J41" s="15"/>
      <c r="K41" s="15"/>
      <c r="L41" s="15"/>
      <c r="M41" s="15"/>
      <c r="N41" s="15"/>
      <c r="O41" s="15"/>
      <c r="P41" s="15"/>
      <c r="Q41" s="15"/>
      <c r="S41" s="5" t="s">
        <v>97</v>
      </c>
      <c r="T41" s="5">
        <v>1</v>
      </c>
      <c r="U41" s="5" t="s">
        <v>99</v>
      </c>
    </row>
    <row r="42" spans="1:46" x14ac:dyDescent="0.25">
      <c r="A42" s="2">
        <v>4</v>
      </c>
      <c r="B42" s="3" t="s">
        <v>1</v>
      </c>
      <c r="C42" s="3" t="s">
        <v>19</v>
      </c>
      <c r="D42" s="3" t="s">
        <v>126</v>
      </c>
      <c r="E42" s="3" t="s">
        <v>126</v>
      </c>
      <c r="F42" s="3" t="s">
        <v>126</v>
      </c>
      <c r="G42" s="3" t="s">
        <v>126</v>
      </c>
      <c r="H42" s="3" t="s">
        <v>126</v>
      </c>
      <c r="I42" s="3" t="s">
        <v>398</v>
      </c>
      <c r="J42" s="3" t="s">
        <v>24</v>
      </c>
      <c r="K42" s="3">
        <v>0</v>
      </c>
      <c r="L42" s="3">
        <v>0</v>
      </c>
      <c r="M42" s="3" t="s">
        <v>414</v>
      </c>
      <c r="N42" s="3"/>
      <c r="O42" s="3"/>
      <c r="P42" s="3"/>
      <c r="Q42" s="3" t="s">
        <v>404</v>
      </c>
      <c r="S42" s="5" t="s">
        <v>98</v>
      </c>
      <c r="T42" s="5">
        <v>1</v>
      </c>
      <c r="U42" s="5" t="s">
        <v>99</v>
      </c>
    </row>
    <row r="43" spans="1:46" x14ac:dyDescent="0.25">
      <c r="A43" s="2">
        <v>5</v>
      </c>
      <c r="B43" s="3" t="s">
        <v>1</v>
      </c>
      <c r="C43" s="3" t="s">
        <v>19</v>
      </c>
      <c r="D43" s="3" t="s">
        <v>126</v>
      </c>
      <c r="E43" s="3" t="s">
        <v>126</v>
      </c>
      <c r="F43" s="3" t="s">
        <v>126</v>
      </c>
      <c r="G43" s="3" t="s">
        <v>126</v>
      </c>
      <c r="H43" s="3" t="s">
        <v>401</v>
      </c>
      <c r="I43" s="3" t="s">
        <v>126</v>
      </c>
      <c r="J43" s="3" t="s">
        <v>24</v>
      </c>
      <c r="K43" s="3">
        <v>0</v>
      </c>
      <c r="L43" s="3">
        <v>0</v>
      </c>
      <c r="M43" s="3" t="s">
        <v>415</v>
      </c>
      <c r="N43" s="3"/>
      <c r="O43" s="3"/>
      <c r="P43" s="3"/>
      <c r="Q43" s="3" t="s">
        <v>405</v>
      </c>
      <c r="S43" s="5" t="s">
        <v>236</v>
      </c>
      <c r="T43" s="5" t="s">
        <v>247</v>
      </c>
      <c r="U43" s="5"/>
    </row>
    <row r="44" spans="1:46" x14ac:dyDescent="0.25">
      <c r="A44" s="2">
        <v>6</v>
      </c>
      <c r="B44" s="3" t="s">
        <v>1</v>
      </c>
      <c r="C44" s="49" t="s">
        <v>19</v>
      </c>
      <c r="D44" s="3" t="s">
        <v>126</v>
      </c>
      <c r="E44" s="3" t="s">
        <v>126</v>
      </c>
      <c r="F44" s="3" t="s">
        <v>126</v>
      </c>
      <c r="G44" s="3" t="s">
        <v>126</v>
      </c>
      <c r="H44" s="3" t="s">
        <v>126</v>
      </c>
      <c r="I44" s="3" t="s">
        <v>399</v>
      </c>
      <c r="J44" s="3" t="s">
        <v>24</v>
      </c>
      <c r="K44" s="3">
        <v>0</v>
      </c>
      <c r="L44" s="3">
        <v>0</v>
      </c>
      <c r="M44" s="3" t="s">
        <v>414</v>
      </c>
      <c r="N44" s="3"/>
      <c r="O44" s="3"/>
      <c r="P44" s="3"/>
      <c r="Q44" s="3" t="s">
        <v>406</v>
      </c>
      <c r="S44" s="5" t="s">
        <v>237</v>
      </c>
      <c r="T44" s="5">
        <v>0</v>
      </c>
      <c r="U44" s="5"/>
    </row>
    <row r="45" spans="1:46" x14ac:dyDescent="0.25">
      <c r="A45" s="2">
        <v>7</v>
      </c>
      <c r="B45" s="3" t="s">
        <v>1</v>
      </c>
      <c r="C45" s="49" t="s">
        <v>19</v>
      </c>
      <c r="D45" s="3" t="s">
        <v>126</v>
      </c>
      <c r="E45" s="3" t="s">
        <v>126</v>
      </c>
      <c r="F45" s="3" t="s">
        <v>126</v>
      </c>
      <c r="G45" s="3" t="s">
        <v>400</v>
      </c>
      <c r="H45" s="3" t="s">
        <v>126</v>
      </c>
      <c r="I45" s="3" t="s">
        <v>126</v>
      </c>
      <c r="J45" s="3" t="s">
        <v>24</v>
      </c>
      <c r="K45" s="3">
        <v>0</v>
      </c>
      <c r="L45" s="3">
        <v>0</v>
      </c>
      <c r="M45" s="3" t="s">
        <v>414</v>
      </c>
      <c r="N45" s="3"/>
      <c r="O45" s="3"/>
      <c r="P45" s="3"/>
      <c r="Q45" s="3" t="s">
        <v>407</v>
      </c>
      <c r="S45" s="58"/>
      <c r="T45" s="58"/>
      <c r="U45" s="92"/>
    </row>
    <row r="46" spans="1:46" x14ac:dyDescent="0.25">
      <c r="A46" s="2">
        <v>8</v>
      </c>
      <c r="B46" s="15" t="s">
        <v>51</v>
      </c>
      <c r="C46" s="15" t="s">
        <v>419</v>
      </c>
      <c r="D46" s="15">
        <v>1</v>
      </c>
      <c r="E46" s="15" t="s">
        <v>409</v>
      </c>
      <c r="F46" s="15">
        <v>2000</v>
      </c>
      <c r="G46" s="15"/>
      <c r="H46" s="15"/>
      <c r="I46" s="15"/>
      <c r="J46" s="15"/>
      <c r="K46" s="15"/>
      <c r="L46" s="15"/>
      <c r="M46" s="15"/>
      <c r="N46" s="15"/>
      <c r="O46" s="15"/>
      <c r="P46" s="15"/>
      <c r="Q46" s="15"/>
      <c r="S46" s="5" t="s">
        <v>383</v>
      </c>
      <c r="T46" s="5">
        <v>60</v>
      </c>
      <c r="U46" s="5" t="s">
        <v>44</v>
      </c>
      <c r="V46" s="1"/>
    </row>
    <row r="47" spans="1:46" x14ac:dyDescent="0.25">
      <c r="A47" s="2">
        <v>9</v>
      </c>
      <c r="B47" s="8" t="s">
        <v>1</v>
      </c>
      <c r="C47" s="8" t="s">
        <v>19</v>
      </c>
      <c r="D47" s="72" t="s">
        <v>126</v>
      </c>
      <c r="E47" s="8" t="s">
        <v>126</v>
      </c>
      <c r="F47" s="8" t="s">
        <v>126</v>
      </c>
      <c r="G47" s="8" t="s">
        <v>126</v>
      </c>
      <c r="H47" s="8" t="s">
        <v>126</v>
      </c>
      <c r="I47" s="8" t="s">
        <v>398</v>
      </c>
      <c r="J47" s="8" t="s">
        <v>24</v>
      </c>
      <c r="K47" s="8">
        <v>0</v>
      </c>
      <c r="L47" s="8">
        <v>0</v>
      </c>
      <c r="M47" s="8" t="s">
        <v>414</v>
      </c>
      <c r="N47" s="8"/>
      <c r="O47" s="8"/>
      <c r="P47" s="8"/>
      <c r="Q47" s="8" t="s">
        <v>404</v>
      </c>
      <c r="S47" s="5" t="s">
        <v>95</v>
      </c>
      <c r="T47" s="5">
        <v>1000</v>
      </c>
      <c r="U47" s="5" t="s">
        <v>46</v>
      </c>
    </row>
    <row r="48" spans="1:46" x14ac:dyDescent="0.25">
      <c r="A48" s="2">
        <v>10</v>
      </c>
      <c r="B48" s="8" t="s">
        <v>1</v>
      </c>
      <c r="C48" s="8" t="s">
        <v>19</v>
      </c>
      <c r="D48" s="101" t="s">
        <v>126</v>
      </c>
      <c r="E48" s="8" t="s">
        <v>126</v>
      </c>
      <c r="F48" s="8" t="s">
        <v>126</v>
      </c>
      <c r="G48" s="8" t="s">
        <v>126</v>
      </c>
      <c r="H48" s="8" t="s">
        <v>408</v>
      </c>
      <c r="I48" s="8" t="s">
        <v>126</v>
      </c>
      <c r="J48" s="8" t="s">
        <v>24</v>
      </c>
      <c r="K48" s="8">
        <v>0</v>
      </c>
      <c r="L48" s="8">
        <v>0</v>
      </c>
      <c r="M48" s="8" t="s">
        <v>415</v>
      </c>
      <c r="N48" s="8"/>
      <c r="O48" s="8"/>
      <c r="P48" s="8"/>
      <c r="Q48" s="8" t="s">
        <v>405</v>
      </c>
      <c r="S48" s="5" t="s">
        <v>96</v>
      </c>
      <c r="T48" s="5">
        <v>9000</v>
      </c>
      <c r="U48" s="5" t="s">
        <v>46</v>
      </c>
    </row>
    <row r="49" spans="1:22" x14ac:dyDescent="0.25">
      <c r="A49" s="2">
        <v>11</v>
      </c>
      <c r="B49" s="8" t="s">
        <v>1</v>
      </c>
      <c r="C49" s="8" t="s">
        <v>19</v>
      </c>
      <c r="D49" s="101" t="s">
        <v>126</v>
      </c>
      <c r="E49" s="8" t="s">
        <v>126</v>
      </c>
      <c r="F49" s="8" t="s">
        <v>126</v>
      </c>
      <c r="G49" s="8" t="s">
        <v>126</v>
      </c>
      <c r="H49" s="8" t="s">
        <v>126</v>
      </c>
      <c r="I49" s="8" t="s">
        <v>399</v>
      </c>
      <c r="J49" s="8" t="s">
        <v>24</v>
      </c>
      <c r="K49" s="8">
        <v>0</v>
      </c>
      <c r="L49" s="8">
        <v>0</v>
      </c>
      <c r="M49" s="8" t="s">
        <v>414</v>
      </c>
      <c r="N49" s="8"/>
      <c r="O49" s="8"/>
      <c r="P49" s="8"/>
      <c r="Q49" s="8" t="s">
        <v>406</v>
      </c>
      <c r="S49" s="5" t="s">
        <v>42</v>
      </c>
      <c r="T49" s="5">
        <v>210</v>
      </c>
      <c r="U49" s="5" t="s">
        <v>44</v>
      </c>
      <c r="V49" s="1"/>
    </row>
    <row r="50" spans="1:22" x14ac:dyDescent="0.25">
      <c r="A50" s="2">
        <v>12</v>
      </c>
      <c r="B50" s="8" t="s">
        <v>1</v>
      </c>
      <c r="C50" s="8" t="s">
        <v>19</v>
      </c>
      <c r="D50" s="8" t="s">
        <v>126</v>
      </c>
      <c r="E50" s="8" t="s">
        <v>126</v>
      </c>
      <c r="F50" s="8" t="s">
        <v>126</v>
      </c>
      <c r="G50" s="8" t="s">
        <v>400</v>
      </c>
      <c r="H50" s="8" t="s">
        <v>126</v>
      </c>
      <c r="I50" s="8" t="s">
        <v>126</v>
      </c>
      <c r="J50" s="8" t="s">
        <v>24</v>
      </c>
      <c r="K50" s="8">
        <v>0</v>
      </c>
      <c r="L50" s="8">
        <v>0</v>
      </c>
      <c r="M50" s="8" t="s">
        <v>414</v>
      </c>
      <c r="N50" s="8"/>
      <c r="O50" s="8"/>
      <c r="P50" s="8"/>
      <c r="Q50" s="8" t="s">
        <v>407</v>
      </c>
      <c r="S50" s="5" t="s">
        <v>43</v>
      </c>
      <c r="T50" s="5">
        <v>2.85</v>
      </c>
      <c r="U50" s="5" t="s">
        <v>45</v>
      </c>
    </row>
    <row r="51" spans="1:22" x14ac:dyDescent="0.25">
      <c r="A51" s="2">
        <v>13</v>
      </c>
      <c r="B51" s="2" t="s">
        <v>57</v>
      </c>
      <c r="C51" s="102" t="s">
        <v>412</v>
      </c>
      <c r="D51" s="2">
        <v>4</v>
      </c>
      <c r="E51" s="2">
        <v>0</v>
      </c>
      <c r="F51" s="2">
        <v>0</v>
      </c>
      <c r="G51" s="2">
        <v>9</v>
      </c>
      <c r="H51" s="2"/>
      <c r="I51" s="2"/>
      <c r="J51" s="2"/>
      <c r="K51" s="2"/>
      <c r="L51" s="2"/>
      <c r="M51" s="2"/>
      <c r="N51" s="2"/>
      <c r="O51" s="2"/>
      <c r="P51" s="2"/>
      <c r="Q51" s="2" t="s">
        <v>411</v>
      </c>
      <c r="S51" s="5" t="s">
        <v>47</v>
      </c>
      <c r="T51" s="5" t="s">
        <v>91</v>
      </c>
      <c r="U51" s="5" t="s">
        <v>100</v>
      </c>
    </row>
    <row r="52" spans="1:22" x14ac:dyDescent="0.25">
      <c r="A52" s="2">
        <v>14</v>
      </c>
      <c r="B52" s="103" t="s">
        <v>54</v>
      </c>
      <c r="C52" s="103">
        <v>13</v>
      </c>
      <c r="D52" s="103" t="s">
        <v>413</v>
      </c>
      <c r="E52" s="103">
        <v>1</v>
      </c>
      <c r="F52" s="103">
        <f>G51</f>
        <v>9</v>
      </c>
      <c r="G52" s="103" t="s">
        <v>68</v>
      </c>
      <c r="H52" s="103">
        <v>3</v>
      </c>
      <c r="I52" s="103">
        <v>0.5</v>
      </c>
      <c r="J52" s="103"/>
      <c r="K52" s="103"/>
      <c r="L52" s="103"/>
      <c r="M52" s="103"/>
      <c r="N52" s="103"/>
      <c r="O52" s="103"/>
      <c r="P52" s="103"/>
      <c r="Q52" s="103" t="s">
        <v>416</v>
      </c>
      <c r="S52" s="5" t="s">
        <v>134</v>
      </c>
      <c r="T52" s="5" t="s">
        <v>195</v>
      </c>
      <c r="U52" s="5"/>
    </row>
    <row r="53" spans="1:22" x14ac:dyDescent="0.25">
      <c r="A53" s="2">
        <v>15</v>
      </c>
      <c r="B53" s="2"/>
      <c r="C53" s="2"/>
      <c r="D53" s="2"/>
      <c r="E53" s="2"/>
      <c r="F53" s="2"/>
      <c r="G53" s="2"/>
      <c r="H53" s="2"/>
      <c r="I53" s="2"/>
      <c r="J53" s="2"/>
      <c r="K53" s="2"/>
      <c r="L53" s="2"/>
      <c r="M53" s="2"/>
      <c r="N53" s="2"/>
      <c r="O53" s="2"/>
      <c r="P53" s="2"/>
      <c r="Q53" s="2"/>
      <c r="S53" s="5" t="s">
        <v>194</v>
      </c>
      <c r="T53" s="5" t="s">
        <v>165</v>
      </c>
      <c r="U53" s="5"/>
    </row>
    <row r="54" spans="1:22" x14ac:dyDescent="0.25">
      <c r="A54" s="29"/>
      <c r="B54" s="29"/>
      <c r="C54" s="29"/>
      <c r="D54" s="29"/>
      <c r="E54" s="29"/>
      <c r="F54" s="29"/>
      <c r="G54" s="29"/>
      <c r="H54" s="29"/>
      <c r="I54" s="29"/>
      <c r="J54" s="29"/>
      <c r="K54" s="29"/>
      <c r="L54" s="29"/>
      <c r="M54" s="29"/>
      <c r="N54" s="29"/>
      <c r="O54" s="29"/>
      <c r="P54" s="29"/>
      <c r="Q54" s="29"/>
      <c r="S54" s="5" t="s">
        <v>209</v>
      </c>
      <c r="T54" s="5">
        <v>20</v>
      </c>
      <c r="U54" s="5" t="s">
        <v>45</v>
      </c>
    </row>
    <row r="55" spans="1:22" x14ac:dyDescent="0.25">
      <c r="A55" s="29"/>
      <c r="B55" s="29"/>
      <c r="C55" s="29"/>
      <c r="D55" s="29"/>
      <c r="E55" s="29"/>
      <c r="F55" s="29"/>
      <c r="G55" s="29"/>
      <c r="H55" s="29"/>
      <c r="I55" s="29"/>
      <c r="J55" s="29"/>
      <c r="K55" s="29"/>
      <c r="L55" s="29"/>
      <c r="M55" s="29"/>
      <c r="N55" s="29"/>
      <c r="O55" s="29"/>
      <c r="P55" s="29"/>
      <c r="Q55" s="29"/>
      <c r="S55" s="5" t="s">
        <v>210</v>
      </c>
      <c r="T55" s="5">
        <v>10</v>
      </c>
      <c r="U55" s="5" t="s">
        <v>45</v>
      </c>
    </row>
    <row r="56" spans="1:22" x14ac:dyDescent="0.25">
      <c r="A56" s="29"/>
      <c r="B56" s="29"/>
      <c r="C56" s="29"/>
      <c r="D56" s="29"/>
      <c r="E56" s="29"/>
      <c r="F56" s="29"/>
      <c r="G56" s="29"/>
      <c r="H56" s="29"/>
      <c r="I56" s="29"/>
      <c r="J56" s="29"/>
      <c r="K56" s="29"/>
      <c r="L56" s="29"/>
      <c r="M56" s="29"/>
      <c r="N56" s="29"/>
      <c r="O56" s="29"/>
      <c r="P56" s="29"/>
      <c r="Q56" s="29"/>
      <c r="S56" s="5" t="s">
        <v>211</v>
      </c>
      <c r="T56" s="5">
        <v>0.3</v>
      </c>
      <c r="U56" s="5" t="s">
        <v>45</v>
      </c>
    </row>
    <row r="57" spans="1:22" x14ac:dyDescent="0.25">
      <c r="A57" s="29"/>
      <c r="B57" s="29"/>
      <c r="C57" s="29"/>
      <c r="D57" s="29"/>
      <c r="E57" s="29"/>
      <c r="F57" s="29"/>
      <c r="G57" s="29"/>
      <c r="H57" s="29"/>
      <c r="I57" s="29"/>
      <c r="J57" s="29"/>
      <c r="K57" s="29"/>
      <c r="L57" s="29"/>
      <c r="M57" s="29"/>
      <c r="N57" s="29"/>
      <c r="O57" s="29"/>
      <c r="P57" s="29"/>
      <c r="Q57" s="29"/>
      <c r="S57" s="80" t="s">
        <v>384</v>
      </c>
      <c r="T57" s="5">
        <v>0</v>
      </c>
      <c r="U57" s="5"/>
      <c r="V57" s="1"/>
    </row>
    <row r="58" spans="1:22" x14ac:dyDescent="0.25">
      <c r="A58" s="29"/>
      <c r="B58" s="29"/>
      <c r="C58" s="29"/>
      <c r="D58" s="29"/>
      <c r="E58" s="29"/>
      <c r="F58" s="29"/>
      <c r="G58" s="29"/>
      <c r="H58" s="29"/>
      <c r="I58" s="29"/>
      <c r="J58" s="29"/>
      <c r="K58" s="29"/>
      <c r="L58" s="29"/>
      <c r="M58" s="29"/>
      <c r="N58" s="29"/>
      <c r="O58" s="29"/>
      <c r="P58" s="29"/>
      <c r="Q58" s="29"/>
      <c r="S58" s="5" t="s">
        <v>196</v>
      </c>
      <c r="T58" s="5" t="s">
        <v>208</v>
      </c>
      <c r="U58" s="5" t="s">
        <v>200</v>
      </c>
    </row>
    <row r="59" spans="1:22" x14ac:dyDescent="0.25">
      <c r="A59" s="29"/>
      <c r="B59" s="29"/>
      <c r="C59" s="29"/>
      <c r="D59" s="29"/>
      <c r="E59" s="29"/>
      <c r="F59" s="29"/>
      <c r="G59" s="29"/>
      <c r="H59" s="29"/>
      <c r="I59" s="29"/>
      <c r="J59" s="29"/>
      <c r="K59" s="29"/>
      <c r="L59" s="29"/>
      <c r="M59" s="29"/>
      <c r="N59" s="29"/>
      <c r="O59" s="29"/>
      <c r="P59" s="29"/>
      <c r="Q59" s="29"/>
      <c r="S59" s="5" t="s">
        <v>201</v>
      </c>
      <c r="T59" s="5">
        <v>5</v>
      </c>
      <c r="U59" s="5" t="s">
        <v>45</v>
      </c>
      <c r="V59" s="1"/>
    </row>
    <row r="60" spans="1:22" x14ac:dyDescent="0.25">
      <c r="A60" s="29"/>
      <c r="B60" s="29"/>
      <c r="C60" s="29"/>
      <c r="D60" s="29"/>
      <c r="E60" s="29"/>
      <c r="F60" s="29"/>
      <c r="G60" s="29"/>
      <c r="H60" s="29"/>
      <c r="I60" s="29"/>
      <c r="J60" s="29"/>
      <c r="K60" s="29"/>
      <c r="L60" s="29"/>
      <c r="M60" s="29"/>
      <c r="N60" s="29"/>
      <c r="O60" s="29"/>
      <c r="P60" s="29"/>
      <c r="Q60" s="29"/>
      <c r="S60" s="5" t="s">
        <v>202</v>
      </c>
      <c r="T60" s="5">
        <v>7</v>
      </c>
      <c r="U60" s="5" t="s">
        <v>100</v>
      </c>
    </row>
    <row r="61" spans="1:22" x14ac:dyDescent="0.25">
      <c r="A61" s="29"/>
      <c r="B61" s="29"/>
      <c r="C61" s="29"/>
      <c r="D61" s="29"/>
      <c r="E61" s="29"/>
      <c r="F61" s="29"/>
      <c r="G61" s="29"/>
      <c r="H61" s="29"/>
      <c r="I61" s="29"/>
      <c r="J61" s="29"/>
      <c r="K61" s="29"/>
      <c r="L61" s="29"/>
      <c r="M61" s="29"/>
      <c r="N61" s="29"/>
      <c r="O61" s="29"/>
      <c r="P61" s="29"/>
      <c r="Q61" s="29"/>
      <c r="S61" s="5" t="s">
        <v>203</v>
      </c>
      <c r="T61" s="5">
        <v>2500</v>
      </c>
      <c r="U61" s="5" t="s">
        <v>46</v>
      </c>
    </row>
    <row r="62" spans="1:22" x14ac:dyDescent="0.25">
      <c r="A62" s="29"/>
      <c r="B62" s="29"/>
      <c r="C62" s="29"/>
      <c r="D62" s="29"/>
      <c r="E62" s="29"/>
      <c r="F62" s="29"/>
      <c r="G62" s="29"/>
      <c r="H62" s="29"/>
      <c r="I62" s="29"/>
      <c r="J62" s="29"/>
      <c r="K62" s="29"/>
      <c r="L62" s="29"/>
      <c r="M62" s="29"/>
      <c r="N62" s="29"/>
      <c r="O62" s="29"/>
      <c r="P62" s="29"/>
      <c r="Q62" s="29"/>
      <c r="S62" s="5" t="s">
        <v>204</v>
      </c>
      <c r="T62" s="5">
        <f>-T60</f>
        <v>-7</v>
      </c>
      <c r="U62" s="5" t="s">
        <v>100</v>
      </c>
    </row>
    <row r="63" spans="1:22" x14ac:dyDescent="0.25">
      <c r="A63" s="29"/>
      <c r="B63" s="29"/>
      <c r="C63" s="29"/>
      <c r="D63" s="29"/>
      <c r="E63" s="29"/>
      <c r="F63" s="29"/>
      <c r="G63" s="29"/>
      <c r="H63" s="29"/>
      <c r="I63" s="29"/>
      <c r="J63" s="29"/>
      <c r="K63" s="29"/>
      <c r="L63" s="29"/>
      <c r="M63" s="29"/>
      <c r="N63" s="29"/>
      <c r="O63" s="29"/>
      <c r="P63" s="29"/>
      <c r="Q63" s="29"/>
      <c r="S63" s="3" t="s">
        <v>205</v>
      </c>
      <c r="T63" s="3">
        <f>T61</f>
        <v>2500</v>
      </c>
      <c r="U63" s="5" t="s">
        <v>46</v>
      </c>
    </row>
    <row r="64" spans="1:22" x14ac:dyDescent="0.25">
      <c r="A64" s="29"/>
      <c r="B64" s="29"/>
      <c r="C64" s="29"/>
      <c r="D64" s="29"/>
      <c r="E64" s="29"/>
      <c r="F64" s="29"/>
      <c r="G64" s="29"/>
      <c r="H64" s="29"/>
      <c r="I64" s="29"/>
      <c r="J64" s="29"/>
      <c r="K64" s="29"/>
      <c r="L64" s="29"/>
      <c r="M64" s="29"/>
      <c r="N64" s="29"/>
      <c r="O64" s="29"/>
      <c r="P64" s="29"/>
      <c r="Q64" s="29"/>
      <c r="S64" s="3" t="s">
        <v>206</v>
      </c>
      <c r="T64" s="3">
        <v>0.2</v>
      </c>
      <c r="U64" s="5" t="s">
        <v>45</v>
      </c>
    </row>
    <row r="65" spans="1:46" x14ac:dyDescent="0.25">
      <c r="A65" s="29"/>
      <c r="B65" s="29"/>
      <c r="C65" s="29"/>
      <c r="D65" s="29"/>
      <c r="E65" s="29"/>
      <c r="F65" s="29"/>
      <c r="G65" s="29"/>
      <c r="H65" s="29"/>
      <c r="I65" s="29"/>
      <c r="J65" s="29"/>
      <c r="K65" s="29"/>
      <c r="L65" s="29"/>
      <c r="M65" s="29"/>
      <c r="N65" s="29"/>
      <c r="O65" s="29"/>
      <c r="P65" s="29"/>
      <c r="Q65" s="29"/>
      <c r="S65" s="3" t="s">
        <v>207</v>
      </c>
      <c r="T65" s="3">
        <v>7500</v>
      </c>
      <c r="U65" s="5" t="s">
        <v>46</v>
      </c>
    </row>
    <row r="66" spans="1:46" x14ac:dyDescent="0.25">
      <c r="A66" s="29"/>
      <c r="B66" s="29"/>
      <c r="C66" s="29"/>
      <c r="D66" s="29"/>
      <c r="E66" s="29"/>
      <c r="F66" s="29"/>
      <c r="G66" s="29"/>
      <c r="H66" s="29"/>
      <c r="I66" s="29"/>
      <c r="J66" s="29"/>
      <c r="K66" s="29"/>
      <c r="L66" s="29"/>
      <c r="M66" s="29"/>
      <c r="N66" s="29"/>
      <c r="O66" s="29"/>
      <c r="P66" s="29"/>
      <c r="Q66" s="29"/>
      <c r="S66" s="29"/>
      <c r="T66" s="29"/>
      <c r="U66" s="93"/>
      <c r="V66" s="29"/>
      <c r="W66" s="29"/>
      <c r="X66" s="29"/>
      <c r="Y66" s="29"/>
      <c r="Z66" s="29"/>
      <c r="AA66" s="29"/>
      <c r="AB66" s="29"/>
      <c r="AC66" s="29"/>
      <c r="AD66" s="29"/>
      <c r="AE66" s="29"/>
      <c r="AF66" s="29"/>
    </row>
    <row r="67" spans="1:46" x14ac:dyDescent="0.25">
      <c r="A67" s="29"/>
      <c r="B67" s="29"/>
      <c r="C67" s="29"/>
      <c r="D67" s="29"/>
      <c r="E67" s="29"/>
      <c r="F67" s="29"/>
      <c r="G67" s="29"/>
      <c r="H67" s="29"/>
      <c r="I67" s="29"/>
      <c r="J67" s="29"/>
      <c r="K67" s="29"/>
      <c r="L67" s="29"/>
      <c r="M67" s="29"/>
      <c r="N67" s="29"/>
      <c r="O67" s="29"/>
      <c r="P67" s="29"/>
      <c r="Q67" s="29"/>
      <c r="S67" s="98" t="s">
        <v>336</v>
      </c>
      <c r="T67" s="98" t="s">
        <v>337</v>
      </c>
      <c r="U67" s="99" t="s">
        <v>375</v>
      </c>
      <c r="V67" s="29"/>
      <c r="W67" s="29"/>
      <c r="X67" s="29"/>
      <c r="Y67" s="29"/>
      <c r="Z67" s="29"/>
      <c r="AA67" s="29"/>
      <c r="AB67" s="29"/>
      <c r="AC67" s="29"/>
      <c r="AD67" s="29"/>
      <c r="AE67" s="29"/>
      <c r="AF67" s="29"/>
    </row>
    <row r="68" spans="1:46" x14ac:dyDescent="0.25">
      <c r="A68" s="29"/>
      <c r="B68" s="29"/>
      <c r="C68" s="29"/>
      <c r="D68" s="29"/>
      <c r="E68" s="29"/>
      <c r="F68" s="29"/>
      <c r="G68" s="29"/>
      <c r="H68" s="29"/>
      <c r="I68" s="29"/>
      <c r="J68" s="29"/>
      <c r="K68" s="29"/>
      <c r="L68" s="29"/>
      <c r="M68" s="29"/>
      <c r="N68" s="29"/>
      <c r="O68" s="29"/>
      <c r="P68" s="29"/>
      <c r="Q68" s="29"/>
      <c r="R68" s="29"/>
      <c r="S68" s="77"/>
      <c r="T68" s="77"/>
      <c r="U68" s="94" t="s">
        <v>136</v>
      </c>
      <c r="V68" s="29"/>
      <c r="W68" s="29"/>
      <c r="X68" s="29"/>
      <c r="Y68" s="29"/>
      <c r="Z68" s="29"/>
      <c r="AA68" s="29"/>
      <c r="AB68" s="29"/>
      <c r="AC68" s="29"/>
      <c r="AD68" s="29"/>
      <c r="AE68" s="29"/>
      <c r="AF68" s="29"/>
      <c r="AG68" s="29"/>
      <c r="AH68" s="29"/>
      <c r="AI68" s="29"/>
      <c r="AJ68" s="29"/>
      <c r="AK68" s="29"/>
      <c r="AL68" s="29"/>
      <c r="AM68" s="29"/>
      <c r="AN68" s="29"/>
    </row>
    <row r="69" spans="1:46" x14ac:dyDescent="0.25">
      <c r="A69" s="29"/>
      <c r="B69" s="29"/>
      <c r="C69" s="29"/>
      <c r="D69" s="29"/>
      <c r="E69" s="29"/>
      <c r="F69" s="29"/>
      <c r="G69" s="29"/>
      <c r="H69" s="29"/>
      <c r="I69" s="29"/>
      <c r="J69" s="29"/>
      <c r="K69" s="29"/>
      <c r="L69" s="29"/>
      <c r="M69" s="29"/>
      <c r="N69" s="29"/>
      <c r="O69" s="29"/>
      <c r="P69" s="29"/>
      <c r="Q69" s="29"/>
      <c r="R69" s="29"/>
      <c r="S69" s="77"/>
      <c r="T69" s="77"/>
      <c r="U69" s="94" t="s">
        <v>136</v>
      </c>
      <c r="V69" s="29"/>
      <c r="W69" s="29"/>
      <c r="X69" s="29"/>
      <c r="Y69" s="29"/>
      <c r="Z69" s="29"/>
      <c r="AA69" s="29"/>
      <c r="AB69" s="29"/>
      <c r="AC69" s="29"/>
      <c r="AD69" s="29"/>
      <c r="AE69" s="29"/>
      <c r="AF69" s="29"/>
      <c r="AG69" s="29"/>
      <c r="AH69" s="29"/>
      <c r="AI69" s="29"/>
      <c r="AJ69" s="29"/>
      <c r="AK69" s="29"/>
      <c r="AL69" s="29"/>
      <c r="AM69" s="29"/>
      <c r="AN69" s="29"/>
    </row>
    <row r="71" spans="1:46" x14ac:dyDescent="0.25">
      <c r="A71" s="59" t="s">
        <v>171</v>
      </c>
      <c r="B71" s="2" t="s">
        <v>421</v>
      </c>
      <c r="C71" s="59" t="s">
        <v>170</v>
      </c>
      <c r="D71" s="2" t="s">
        <v>393</v>
      </c>
      <c r="U71" s="91"/>
      <c r="AO71" t="s">
        <v>172</v>
      </c>
      <c r="AP71" t="s">
        <v>422</v>
      </c>
      <c r="AQ71" t="s">
        <v>171</v>
      </c>
      <c r="AR71" t="s">
        <v>421</v>
      </c>
      <c r="AS71" t="s">
        <v>170</v>
      </c>
      <c r="AT71" t="s">
        <v>393</v>
      </c>
    </row>
    <row r="72" spans="1:46" x14ac:dyDescent="0.25">
      <c r="A72" s="40" t="s">
        <v>0</v>
      </c>
      <c r="B72" s="2"/>
      <c r="C72" s="2"/>
      <c r="D72" s="2"/>
      <c r="E72" s="2"/>
      <c r="F72" s="2"/>
      <c r="G72" s="2"/>
      <c r="H72" s="2"/>
      <c r="I72" s="2"/>
      <c r="J72" s="2"/>
      <c r="K72" s="2"/>
      <c r="L72" s="2"/>
      <c r="M72" s="2"/>
      <c r="N72" s="2"/>
      <c r="O72" s="2"/>
      <c r="P72" s="2"/>
      <c r="Q72" s="59" t="s">
        <v>333</v>
      </c>
      <c r="U72" s="91"/>
    </row>
    <row r="73" spans="1:46" x14ac:dyDescent="0.25">
      <c r="A73" s="2">
        <v>1</v>
      </c>
      <c r="B73" s="2" t="s">
        <v>1</v>
      </c>
      <c r="C73" s="2" t="s">
        <v>19</v>
      </c>
      <c r="D73" s="2">
        <v>50</v>
      </c>
      <c r="E73" s="2">
        <v>50</v>
      </c>
      <c r="F73" s="2">
        <v>0</v>
      </c>
      <c r="G73" s="2" t="s">
        <v>389</v>
      </c>
      <c r="H73" s="2" t="s">
        <v>126</v>
      </c>
      <c r="I73" s="2" t="s">
        <v>126</v>
      </c>
      <c r="J73" s="2" t="s">
        <v>20</v>
      </c>
      <c r="K73" s="2">
        <v>0.4</v>
      </c>
      <c r="L73" s="2">
        <v>0.2</v>
      </c>
      <c r="M73" s="2"/>
      <c r="N73" s="2"/>
      <c r="O73" s="2"/>
      <c r="P73" s="2"/>
      <c r="Q73" s="2"/>
      <c r="S73" s="97" t="s">
        <v>41</v>
      </c>
      <c r="T73" s="3"/>
      <c r="U73" s="5"/>
    </row>
    <row r="74" spans="1:46" x14ac:dyDescent="0.25">
      <c r="A74" s="2">
        <v>2</v>
      </c>
      <c r="B74" s="2" t="s">
        <v>1</v>
      </c>
      <c r="C74" s="2" t="s">
        <v>19</v>
      </c>
      <c r="D74" s="2" t="s">
        <v>126</v>
      </c>
      <c r="E74" s="2" t="s">
        <v>126</v>
      </c>
      <c r="F74" s="2" t="s">
        <v>126</v>
      </c>
      <c r="G74" s="2" t="s">
        <v>126</v>
      </c>
      <c r="H74" s="2" t="s">
        <v>389</v>
      </c>
      <c r="I74" s="2" t="s">
        <v>126</v>
      </c>
      <c r="J74" s="2" t="s">
        <v>20</v>
      </c>
      <c r="K74" s="2">
        <v>0.4</v>
      </c>
      <c r="L74" s="2">
        <v>0.2</v>
      </c>
      <c r="M74" s="2"/>
      <c r="N74" s="2"/>
      <c r="O74" s="2"/>
      <c r="P74" s="2"/>
      <c r="Q74" s="2"/>
      <c r="S74" s="5" t="s">
        <v>124</v>
      </c>
      <c r="T74" s="5">
        <v>0.2</v>
      </c>
      <c r="U74" s="5" t="s">
        <v>45</v>
      </c>
    </row>
    <row r="75" spans="1:46" x14ac:dyDescent="0.25">
      <c r="A75" s="2">
        <v>3</v>
      </c>
      <c r="B75" s="2" t="s">
        <v>1</v>
      </c>
      <c r="C75" s="2" t="s">
        <v>19</v>
      </c>
      <c r="D75" s="2" t="s">
        <v>126</v>
      </c>
      <c r="E75" s="2" t="s">
        <v>126</v>
      </c>
      <c r="F75" s="2" t="s">
        <v>126</v>
      </c>
      <c r="G75" s="2" t="s">
        <v>390</v>
      </c>
      <c r="H75" s="2" t="s">
        <v>126</v>
      </c>
      <c r="I75" s="2" t="s">
        <v>126</v>
      </c>
      <c r="J75" s="2" t="s">
        <v>20</v>
      </c>
      <c r="K75" s="2">
        <v>0.4</v>
      </c>
      <c r="L75" s="2">
        <v>0.2</v>
      </c>
      <c r="M75" s="2"/>
      <c r="N75" s="2"/>
      <c r="O75" s="2"/>
      <c r="P75" s="2"/>
      <c r="Q75" s="2"/>
      <c r="S75" s="5" t="s">
        <v>97</v>
      </c>
      <c r="T75" s="5">
        <v>1</v>
      </c>
      <c r="U75" s="5" t="s">
        <v>99</v>
      </c>
    </row>
    <row r="76" spans="1:46" x14ac:dyDescent="0.25">
      <c r="A76" s="2">
        <v>4</v>
      </c>
      <c r="B76" s="2" t="s">
        <v>1</v>
      </c>
      <c r="C76" s="2" t="s">
        <v>19</v>
      </c>
      <c r="D76" s="2" t="s">
        <v>126</v>
      </c>
      <c r="E76" s="2" t="s">
        <v>126</v>
      </c>
      <c r="F76" s="2" t="s">
        <v>126</v>
      </c>
      <c r="G76" s="2" t="s">
        <v>126</v>
      </c>
      <c r="H76" s="2" t="s">
        <v>390</v>
      </c>
      <c r="I76" s="2" t="s">
        <v>126</v>
      </c>
      <c r="J76" s="2" t="s">
        <v>20</v>
      </c>
      <c r="K76" s="2">
        <v>0.4</v>
      </c>
      <c r="L76" s="2">
        <v>0.2</v>
      </c>
      <c r="M76" s="2"/>
      <c r="N76" s="2"/>
      <c r="O76" s="2"/>
      <c r="P76" s="2"/>
      <c r="Q76" s="2"/>
      <c r="S76" s="5" t="s">
        <v>98</v>
      </c>
      <c r="T76" s="5">
        <v>1</v>
      </c>
      <c r="U76" s="5" t="s">
        <v>99</v>
      </c>
    </row>
    <row r="77" spans="1:46" x14ac:dyDescent="0.25">
      <c r="A77" s="2">
        <v>5</v>
      </c>
      <c r="B77" s="2" t="s">
        <v>57</v>
      </c>
      <c r="C77" s="100" t="s">
        <v>314</v>
      </c>
      <c r="D77" s="2">
        <v>0</v>
      </c>
      <c r="E77" s="2">
        <v>0</v>
      </c>
      <c r="F77" s="2">
        <v>0.2</v>
      </c>
      <c r="G77" s="2">
        <v>250</v>
      </c>
      <c r="H77" s="2"/>
      <c r="I77" s="2"/>
      <c r="J77" s="2"/>
      <c r="K77" s="2"/>
      <c r="L77" s="2"/>
      <c r="M77" s="2"/>
      <c r="N77" s="2"/>
      <c r="O77" s="2"/>
      <c r="P77" s="2"/>
      <c r="Q77" s="2"/>
      <c r="S77" s="5" t="s">
        <v>236</v>
      </c>
      <c r="T77" s="5" t="s">
        <v>247</v>
      </c>
      <c r="U77" s="5"/>
    </row>
    <row r="78" spans="1:46" x14ac:dyDescent="0.25">
      <c r="A78" s="2">
        <v>6</v>
      </c>
      <c r="B78" s="2"/>
      <c r="C78" s="2"/>
      <c r="D78" s="2"/>
      <c r="E78" s="2"/>
      <c r="F78" s="2"/>
      <c r="G78" s="2"/>
      <c r="H78" s="2"/>
      <c r="I78" s="2"/>
      <c r="J78" s="2"/>
      <c r="K78" s="2"/>
      <c r="L78" s="2"/>
      <c r="M78" s="2"/>
      <c r="N78" s="2"/>
      <c r="O78" s="2"/>
      <c r="P78" s="2"/>
      <c r="Q78" s="2"/>
      <c r="S78" s="5" t="s">
        <v>237</v>
      </c>
      <c r="T78" s="5">
        <v>0</v>
      </c>
      <c r="U78" s="5"/>
    </row>
    <row r="79" spans="1:46" x14ac:dyDescent="0.25">
      <c r="A79" s="2">
        <v>7</v>
      </c>
      <c r="B79" s="2"/>
      <c r="C79" s="2"/>
      <c r="D79" s="2"/>
      <c r="E79" s="2"/>
      <c r="F79" s="2"/>
      <c r="G79" s="2"/>
      <c r="H79" s="2"/>
      <c r="I79" s="2"/>
      <c r="J79" s="2"/>
      <c r="K79" s="2"/>
      <c r="L79" s="2"/>
      <c r="M79" s="2"/>
      <c r="N79" s="2"/>
      <c r="O79" s="2"/>
      <c r="P79" s="2"/>
      <c r="Q79" s="2"/>
      <c r="S79" s="58"/>
      <c r="T79" s="58"/>
      <c r="U79" s="92"/>
    </row>
    <row r="80" spans="1:46" x14ac:dyDescent="0.25">
      <c r="A80" s="2">
        <v>8</v>
      </c>
      <c r="B80" s="2"/>
      <c r="C80" s="2"/>
      <c r="D80" s="2"/>
      <c r="E80" s="2"/>
      <c r="F80" s="2"/>
      <c r="G80" s="2"/>
      <c r="H80" s="2"/>
      <c r="I80" s="2"/>
      <c r="J80" s="2"/>
      <c r="K80" s="2"/>
      <c r="L80" s="2"/>
      <c r="M80" s="2"/>
      <c r="N80" s="2"/>
      <c r="O80" s="2"/>
      <c r="P80" s="2"/>
      <c r="Q80" s="2"/>
      <c r="S80" s="5" t="s">
        <v>383</v>
      </c>
      <c r="T80" s="5">
        <v>60</v>
      </c>
      <c r="U80" s="5" t="s">
        <v>44</v>
      </c>
      <c r="V80" s="1"/>
    </row>
    <row r="81" spans="1:22" x14ac:dyDescent="0.25">
      <c r="A81" s="2">
        <v>9</v>
      </c>
      <c r="B81" s="2"/>
      <c r="C81" s="2"/>
      <c r="D81" s="2"/>
      <c r="E81" s="2"/>
      <c r="F81" s="2"/>
      <c r="G81" s="2"/>
      <c r="H81" s="2"/>
      <c r="I81" s="2"/>
      <c r="J81" s="2"/>
      <c r="K81" s="2"/>
      <c r="L81" s="2"/>
      <c r="M81" s="2"/>
      <c r="N81" s="2"/>
      <c r="O81" s="2"/>
      <c r="P81" s="2"/>
      <c r="Q81" s="2"/>
      <c r="S81" s="5" t="s">
        <v>95</v>
      </c>
      <c r="T81" s="5">
        <v>1000</v>
      </c>
      <c r="U81" s="5" t="s">
        <v>46</v>
      </c>
    </row>
    <row r="82" spans="1:22" x14ac:dyDescent="0.25">
      <c r="A82" s="2">
        <v>10</v>
      </c>
      <c r="B82" s="2"/>
      <c r="C82" s="2"/>
      <c r="D82" s="2"/>
      <c r="E82" s="2"/>
      <c r="F82" s="2"/>
      <c r="G82" s="2"/>
      <c r="H82" s="2"/>
      <c r="I82" s="2"/>
      <c r="J82" s="2"/>
      <c r="K82" s="2"/>
      <c r="L82" s="2"/>
      <c r="M82" s="2"/>
      <c r="N82" s="2"/>
      <c r="O82" s="2"/>
      <c r="P82" s="2"/>
      <c r="Q82" s="2"/>
      <c r="S82" s="5" t="s">
        <v>96</v>
      </c>
      <c r="T82" s="5">
        <v>9000</v>
      </c>
      <c r="U82" s="5" t="s">
        <v>46</v>
      </c>
    </row>
    <row r="83" spans="1:22" x14ac:dyDescent="0.25">
      <c r="A83" s="2">
        <v>11</v>
      </c>
      <c r="B83" s="2"/>
      <c r="C83" s="2"/>
      <c r="D83" s="2"/>
      <c r="E83" s="2"/>
      <c r="F83" s="2"/>
      <c r="G83" s="2"/>
      <c r="H83" s="2"/>
      <c r="I83" s="2"/>
      <c r="J83" s="2"/>
      <c r="K83" s="2"/>
      <c r="L83" s="2"/>
      <c r="M83" s="2"/>
      <c r="N83" s="2"/>
      <c r="O83" s="2"/>
      <c r="P83" s="2"/>
      <c r="Q83" s="2"/>
      <c r="S83" s="5" t="s">
        <v>42</v>
      </c>
      <c r="T83" s="5">
        <v>210</v>
      </c>
      <c r="U83" s="5" t="s">
        <v>44</v>
      </c>
      <c r="V83" s="1"/>
    </row>
    <row r="84" spans="1:22" x14ac:dyDescent="0.25">
      <c r="A84" s="2">
        <v>12</v>
      </c>
      <c r="B84" s="2"/>
      <c r="C84" s="2"/>
      <c r="D84" s="2"/>
      <c r="E84" s="2"/>
      <c r="F84" s="2"/>
      <c r="G84" s="2"/>
      <c r="H84" s="2"/>
      <c r="I84" s="2"/>
      <c r="J84" s="2"/>
      <c r="K84" s="2"/>
      <c r="L84" s="2"/>
      <c r="M84" s="2"/>
      <c r="N84" s="2"/>
      <c r="O84" s="2"/>
      <c r="P84" s="2"/>
      <c r="Q84" s="2"/>
      <c r="S84" s="5" t="s">
        <v>43</v>
      </c>
      <c r="T84" s="5">
        <v>2.85</v>
      </c>
      <c r="U84" s="5" t="s">
        <v>45</v>
      </c>
    </row>
    <row r="85" spans="1:22" x14ac:dyDescent="0.25">
      <c r="A85" s="2">
        <v>13</v>
      </c>
      <c r="B85" s="2"/>
      <c r="C85" s="2"/>
      <c r="D85" s="2"/>
      <c r="E85" s="2"/>
      <c r="F85" s="2"/>
      <c r="G85" s="2"/>
      <c r="H85" s="2"/>
      <c r="I85" s="2"/>
      <c r="J85" s="2"/>
      <c r="K85" s="2"/>
      <c r="L85" s="2"/>
      <c r="M85" s="2"/>
      <c r="N85" s="2"/>
      <c r="O85" s="2"/>
      <c r="P85" s="2"/>
      <c r="Q85" s="2"/>
      <c r="S85" s="5" t="s">
        <v>47</v>
      </c>
      <c r="T85" s="5" t="s">
        <v>91</v>
      </c>
      <c r="U85" s="5" t="s">
        <v>100</v>
      </c>
    </row>
    <row r="86" spans="1:22" x14ac:dyDescent="0.25">
      <c r="A86" s="2">
        <v>14</v>
      </c>
      <c r="B86" s="2"/>
      <c r="C86" s="2"/>
      <c r="D86" s="2"/>
      <c r="E86" s="2"/>
      <c r="F86" s="2"/>
      <c r="G86" s="2"/>
      <c r="H86" s="2"/>
      <c r="I86" s="2"/>
      <c r="J86" s="2"/>
      <c r="K86" s="2"/>
      <c r="L86" s="2"/>
      <c r="M86" s="2"/>
      <c r="N86" s="2"/>
      <c r="O86" s="2"/>
      <c r="P86" s="2"/>
      <c r="Q86" s="2"/>
      <c r="S86" s="5" t="s">
        <v>134</v>
      </c>
      <c r="T86" s="5" t="s">
        <v>195</v>
      </c>
      <c r="U86" s="5"/>
    </row>
    <row r="87" spans="1:22" x14ac:dyDescent="0.25">
      <c r="A87" s="2">
        <v>15</v>
      </c>
      <c r="B87" s="2"/>
      <c r="C87" s="2"/>
      <c r="D87" s="2"/>
      <c r="E87" s="2"/>
      <c r="F87" s="2"/>
      <c r="G87" s="2"/>
      <c r="H87" s="2"/>
      <c r="I87" s="2"/>
      <c r="J87" s="2"/>
      <c r="K87" s="2"/>
      <c r="L87" s="2"/>
      <c r="M87" s="2"/>
      <c r="N87" s="2"/>
      <c r="O87" s="2"/>
      <c r="P87" s="2"/>
      <c r="Q87" s="2"/>
      <c r="S87" s="5" t="s">
        <v>194</v>
      </c>
      <c r="T87" s="5" t="s">
        <v>165</v>
      </c>
      <c r="U87" s="5"/>
    </row>
    <row r="88" spans="1:22" x14ac:dyDescent="0.25">
      <c r="A88" s="29"/>
      <c r="B88" s="29"/>
      <c r="C88" s="29"/>
      <c r="D88" s="29"/>
      <c r="E88" s="29"/>
      <c r="F88" s="29"/>
      <c r="G88" s="29"/>
      <c r="H88" s="29"/>
      <c r="I88" s="29"/>
      <c r="J88" s="29"/>
      <c r="K88" s="29"/>
      <c r="L88" s="29"/>
      <c r="M88" s="29"/>
      <c r="N88" s="29"/>
      <c r="O88" s="29"/>
      <c r="P88" s="29"/>
      <c r="Q88" s="29"/>
      <c r="S88" s="5" t="s">
        <v>209</v>
      </c>
      <c r="T88" s="5">
        <v>20</v>
      </c>
      <c r="U88" s="5" t="s">
        <v>45</v>
      </c>
    </row>
    <row r="89" spans="1:22" x14ac:dyDescent="0.25">
      <c r="A89" s="29"/>
      <c r="B89" s="29"/>
      <c r="C89" s="29"/>
      <c r="D89" s="29"/>
      <c r="E89" s="29"/>
      <c r="F89" s="29"/>
      <c r="G89" s="29"/>
      <c r="H89" s="29"/>
      <c r="I89" s="29"/>
      <c r="J89" s="29"/>
      <c r="K89" s="29"/>
      <c r="L89" s="29"/>
      <c r="M89" s="29"/>
      <c r="N89" s="29"/>
      <c r="O89" s="29"/>
      <c r="P89" s="29"/>
      <c r="Q89" s="29"/>
      <c r="S89" s="5" t="s">
        <v>210</v>
      </c>
      <c r="T89" s="5">
        <v>10</v>
      </c>
      <c r="U89" s="5" t="s">
        <v>45</v>
      </c>
    </row>
    <row r="90" spans="1:22" x14ac:dyDescent="0.25">
      <c r="A90" s="29"/>
      <c r="B90" s="29"/>
      <c r="C90" s="29"/>
      <c r="D90" s="29"/>
      <c r="E90" s="29"/>
      <c r="F90" s="29"/>
      <c r="G90" s="29"/>
      <c r="H90" s="29"/>
      <c r="I90" s="29"/>
      <c r="J90" s="29"/>
      <c r="K90" s="29"/>
      <c r="L90" s="29"/>
      <c r="M90" s="29"/>
      <c r="N90" s="29"/>
      <c r="O90" s="29"/>
      <c r="P90" s="29"/>
      <c r="Q90" s="29"/>
      <c r="S90" s="5" t="s">
        <v>211</v>
      </c>
      <c r="T90" s="5">
        <v>0.3</v>
      </c>
      <c r="U90" s="5" t="s">
        <v>45</v>
      </c>
    </row>
    <row r="91" spans="1:22" x14ac:dyDescent="0.25">
      <c r="A91" s="29"/>
      <c r="B91" s="29"/>
      <c r="C91" s="29"/>
      <c r="D91" s="29"/>
      <c r="E91" s="29"/>
      <c r="F91" s="29"/>
      <c r="G91" s="29"/>
      <c r="H91" s="29"/>
      <c r="I91" s="29"/>
      <c r="J91" s="29"/>
      <c r="K91" s="29"/>
      <c r="L91" s="29"/>
      <c r="M91" s="29"/>
      <c r="N91" s="29"/>
      <c r="O91" s="29"/>
      <c r="P91" s="29"/>
      <c r="Q91" s="29"/>
      <c r="S91" s="80" t="s">
        <v>384</v>
      </c>
      <c r="T91" s="5">
        <v>0</v>
      </c>
      <c r="U91" s="5"/>
      <c r="V91" s="1"/>
    </row>
    <row r="92" spans="1:22" x14ac:dyDescent="0.25">
      <c r="A92" s="29"/>
      <c r="B92" s="29"/>
      <c r="C92" s="29"/>
      <c r="D92" s="29"/>
      <c r="E92" s="29"/>
      <c r="F92" s="29"/>
      <c r="G92" s="29"/>
      <c r="H92" s="29"/>
      <c r="I92" s="29"/>
      <c r="J92" s="29"/>
      <c r="K92" s="29"/>
      <c r="L92" s="29"/>
      <c r="M92" s="29"/>
      <c r="N92" s="29"/>
      <c r="O92" s="29"/>
      <c r="P92" s="29"/>
      <c r="Q92" s="29"/>
      <c r="S92" s="5" t="s">
        <v>196</v>
      </c>
      <c r="T92" s="5" t="s">
        <v>208</v>
      </c>
      <c r="U92" s="5" t="s">
        <v>200</v>
      </c>
    </row>
    <row r="93" spans="1:22" x14ac:dyDescent="0.25">
      <c r="A93" s="29"/>
      <c r="B93" s="29"/>
      <c r="C93" s="29"/>
      <c r="D93" s="29"/>
      <c r="E93" s="29"/>
      <c r="F93" s="29"/>
      <c r="G93" s="29"/>
      <c r="H93" s="29"/>
      <c r="I93" s="29"/>
      <c r="J93" s="29"/>
      <c r="K93" s="29"/>
      <c r="L93" s="29"/>
      <c r="M93" s="29"/>
      <c r="N93" s="29"/>
      <c r="O93" s="29"/>
      <c r="P93" s="29"/>
      <c r="Q93" s="29"/>
      <c r="S93" s="5" t="s">
        <v>201</v>
      </c>
      <c r="T93" s="5">
        <v>5</v>
      </c>
      <c r="U93" s="5" t="s">
        <v>45</v>
      </c>
      <c r="V93" s="1"/>
    </row>
    <row r="94" spans="1:22" x14ac:dyDescent="0.25">
      <c r="A94" s="29"/>
      <c r="B94" s="29"/>
      <c r="C94" s="29"/>
      <c r="D94" s="29"/>
      <c r="E94" s="29"/>
      <c r="F94" s="29"/>
      <c r="G94" s="29"/>
      <c r="H94" s="29"/>
      <c r="I94" s="29"/>
      <c r="J94" s="29"/>
      <c r="K94" s="29"/>
      <c r="L94" s="29"/>
      <c r="M94" s="29"/>
      <c r="N94" s="29"/>
      <c r="O94" s="29"/>
      <c r="P94" s="29"/>
      <c r="Q94" s="29"/>
      <c r="S94" s="5" t="s">
        <v>202</v>
      </c>
      <c r="T94" s="5">
        <v>7</v>
      </c>
      <c r="U94" s="5" t="s">
        <v>100</v>
      </c>
    </row>
    <row r="95" spans="1:22" x14ac:dyDescent="0.25">
      <c r="A95" s="29"/>
      <c r="B95" s="29"/>
      <c r="C95" s="29"/>
      <c r="D95" s="29"/>
      <c r="E95" s="29"/>
      <c r="F95" s="29"/>
      <c r="G95" s="29"/>
      <c r="H95" s="29"/>
      <c r="I95" s="29"/>
      <c r="J95" s="29"/>
      <c r="K95" s="29"/>
      <c r="L95" s="29"/>
      <c r="M95" s="29"/>
      <c r="N95" s="29"/>
      <c r="O95" s="29"/>
      <c r="P95" s="29"/>
      <c r="Q95" s="29"/>
      <c r="S95" s="5" t="s">
        <v>203</v>
      </c>
      <c r="T95" s="5">
        <v>2500</v>
      </c>
      <c r="U95" s="5" t="s">
        <v>46</v>
      </c>
    </row>
    <row r="96" spans="1:22" x14ac:dyDescent="0.25">
      <c r="A96" s="29"/>
      <c r="B96" s="29"/>
      <c r="C96" s="29"/>
      <c r="D96" s="29"/>
      <c r="E96" s="29"/>
      <c r="F96" s="29"/>
      <c r="G96" s="29"/>
      <c r="H96" s="29"/>
      <c r="I96" s="29"/>
      <c r="J96" s="29"/>
      <c r="K96" s="29"/>
      <c r="L96" s="29"/>
      <c r="M96" s="29"/>
      <c r="N96" s="29"/>
      <c r="O96" s="29"/>
      <c r="P96" s="29"/>
      <c r="Q96" s="29"/>
      <c r="S96" s="5" t="s">
        <v>204</v>
      </c>
      <c r="T96" s="5">
        <f>-T94</f>
        <v>-7</v>
      </c>
      <c r="U96" s="5" t="s">
        <v>100</v>
      </c>
    </row>
    <row r="97" spans="1:40" x14ac:dyDescent="0.25">
      <c r="A97" s="29"/>
      <c r="B97" s="29"/>
      <c r="C97" s="29"/>
      <c r="D97" s="29"/>
      <c r="E97" s="29"/>
      <c r="F97" s="29"/>
      <c r="G97" s="29"/>
      <c r="H97" s="29"/>
      <c r="I97" s="29"/>
      <c r="J97" s="29"/>
      <c r="K97" s="29"/>
      <c r="L97" s="29"/>
      <c r="M97" s="29"/>
      <c r="N97" s="29"/>
      <c r="O97" s="29"/>
      <c r="P97" s="29"/>
      <c r="Q97" s="29"/>
      <c r="S97" s="3" t="s">
        <v>205</v>
      </c>
      <c r="T97" s="3">
        <f>T95</f>
        <v>2500</v>
      </c>
      <c r="U97" s="5" t="s">
        <v>46</v>
      </c>
    </row>
    <row r="98" spans="1:40" x14ac:dyDescent="0.25">
      <c r="A98" s="29"/>
      <c r="B98" s="29"/>
      <c r="C98" s="29"/>
      <c r="D98" s="29"/>
      <c r="E98" s="29"/>
      <c r="F98" s="29"/>
      <c r="G98" s="29"/>
      <c r="H98" s="29"/>
      <c r="I98" s="29"/>
      <c r="J98" s="29"/>
      <c r="K98" s="29"/>
      <c r="L98" s="29"/>
      <c r="M98" s="29"/>
      <c r="N98" s="29"/>
      <c r="O98" s="29"/>
      <c r="P98" s="29"/>
      <c r="Q98" s="29"/>
      <c r="S98" s="3" t="s">
        <v>206</v>
      </c>
      <c r="T98" s="3">
        <v>0.2</v>
      </c>
      <c r="U98" s="5" t="s">
        <v>45</v>
      </c>
    </row>
    <row r="99" spans="1:40" x14ac:dyDescent="0.25">
      <c r="A99" s="29"/>
      <c r="B99" s="29"/>
      <c r="C99" s="29"/>
      <c r="D99" s="29"/>
      <c r="E99" s="29"/>
      <c r="F99" s="29"/>
      <c r="G99" s="29"/>
      <c r="H99" s="29"/>
      <c r="I99" s="29"/>
      <c r="J99" s="29"/>
      <c r="K99" s="29"/>
      <c r="L99" s="29"/>
      <c r="M99" s="29"/>
      <c r="N99" s="29"/>
      <c r="O99" s="29"/>
      <c r="P99" s="29"/>
      <c r="Q99" s="29"/>
      <c r="S99" s="3" t="s">
        <v>207</v>
      </c>
      <c r="T99" s="3">
        <v>7500</v>
      </c>
      <c r="U99" s="5" t="s">
        <v>46</v>
      </c>
    </row>
    <row r="100" spans="1:40" x14ac:dyDescent="0.25">
      <c r="A100" s="29"/>
      <c r="B100" s="29"/>
      <c r="C100" s="29"/>
      <c r="D100" s="29"/>
      <c r="E100" s="29"/>
      <c r="F100" s="29"/>
      <c r="G100" s="29"/>
      <c r="H100" s="29"/>
      <c r="I100" s="29"/>
      <c r="J100" s="29"/>
      <c r="K100" s="29"/>
      <c r="L100" s="29"/>
      <c r="M100" s="29"/>
      <c r="N100" s="29"/>
      <c r="O100" s="29"/>
      <c r="P100" s="29"/>
      <c r="Q100" s="29"/>
      <c r="S100" s="29"/>
      <c r="T100" s="29"/>
      <c r="U100" s="93"/>
      <c r="V100" s="29"/>
      <c r="W100" s="29"/>
      <c r="X100" s="29"/>
      <c r="Y100" s="29"/>
      <c r="Z100" s="29"/>
      <c r="AA100" s="29"/>
      <c r="AB100" s="29"/>
      <c r="AC100" s="29"/>
      <c r="AD100" s="29"/>
      <c r="AE100" s="29"/>
      <c r="AF100" s="29"/>
    </row>
    <row r="101" spans="1:40" x14ac:dyDescent="0.25">
      <c r="A101" s="29"/>
      <c r="B101" s="29"/>
      <c r="C101" s="29"/>
      <c r="D101" s="29"/>
      <c r="E101" s="29"/>
      <c r="F101" s="29"/>
      <c r="G101" s="29"/>
      <c r="H101" s="29"/>
      <c r="I101" s="29"/>
      <c r="J101" s="29"/>
      <c r="K101" s="29"/>
      <c r="L101" s="29"/>
      <c r="M101" s="29"/>
      <c r="N101" s="29"/>
      <c r="O101" s="29"/>
      <c r="P101" s="29"/>
      <c r="Q101" s="29"/>
      <c r="S101" s="98" t="s">
        <v>336</v>
      </c>
      <c r="T101" s="98" t="s">
        <v>337</v>
      </c>
      <c r="U101" s="99" t="s">
        <v>375</v>
      </c>
      <c r="V101" s="29"/>
      <c r="W101" s="29"/>
      <c r="X101" s="29"/>
      <c r="Y101" s="29"/>
      <c r="Z101" s="29"/>
      <c r="AA101" s="29"/>
      <c r="AB101" s="29"/>
      <c r="AC101" s="29"/>
      <c r="AD101" s="29"/>
      <c r="AE101" s="29"/>
      <c r="AF101" s="29"/>
    </row>
    <row r="102" spans="1:40" x14ac:dyDescent="0.25">
      <c r="A102" s="29"/>
      <c r="B102" s="29"/>
      <c r="C102" s="29"/>
      <c r="D102" s="29"/>
      <c r="E102" s="29"/>
      <c r="F102" s="29"/>
      <c r="G102" s="29"/>
      <c r="H102" s="29"/>
      <c r="I102" s="29"/>
      <c r="J102" s="29"/>
      <c r="K102" s="29"/>
      <c r="L102" s="29"/>
      <c r="M102" s="29"/>
      <c r="N102" s="29"/>
      <c r="O102" s="29"/>
      <c r="P102" s="29"/>
      <c r="Q102" s="29"/>
      <c r="R102" s="29"/>
      <c r="S102" s="77"/>
      <c r="T102" s="77"/>
      <c r="U102" s="94" t="s">
        <v>136</v>
      </c>
      <c r="V102" s="29"/>
      <c r="W102" s="29"/>
      <c r="X102" s="29"/>
      <c r="Y102" s="29"/>
      <c r="Z102" s="29"/>
      <c r="AA102" s="29"/>
      <c r="AB102" s="29"/>
      <c r="AC102" s="29"/>
      <c r="AD102" s="29"/>
      <c r="AE102" s="29"/>
      <c r="AF102" s="29"/>
      <c r="AG102" s="29"/>
      <c r="AH102" s="29"/>
      <c r="AI102" s="29"/>
      <c r="AJ102" s="29"/>
      <c r="AK102" s="29"/>
      <c r="AL102" s="29"/>
      <c r="AM102" s="29"/>
      <c r="AN102" s="29"/>
    </row>
    <row r="103" spans="1:40" x14ac:dyDescent="0.25">
      <c r="A103" s="29"/>
      <c r="B103" s="29"/>
      <c r="C103" s="29"/>
      <c r="D103" s="29"/>
      <c r="E103" s="29"/>
      <c r="F103" s="29"/>
      <c r="G103" s="29"/>
      <c r="H103" s="29"/>
      <c r="I103" s="29"/>
      <c r="J103" s="29"/>
      <c r="K103" s="29"/>
      <c r="L103" s="29"/>
      <c r="M103" s="29"/>
      <c r="N103" s="29"/>
      <c r="O103" s="29"/>
      <c r="P103" s="29"/>
      <c r="Q103" s="29"/>
      <c r="R103" s="29"/>
      <c r="S103" s="77"/>
      <c r="T103" s="77"/>
      <c r="U103" s="94" t="s">
        <v>136</v>
      </c>
      <c r="V103" s="29"/>
      <c r="W103" s="29"/>
      <c r="X103" s="29"/>
      <c r="Y103" s="29"/>
      <c r="Z103" s="29"/>
      <c r="AA103" s="29"/>
      <c r="AB103" s="29"/>
      <c r="AC103" s="29"/>
      <c r="AD103" s="29"/>
      <c r="AE103" s="29"/>
      <c r="AF103" s="29"/>
      <c r="AG103" s="29"/>
      <c r="AH103" s="29"/>
      <c r="AI103" s="29"/>
      <c r="AJ103" s="29"/>
      <c r="AK103" s="29"/>
      <c r="AL103" s="29"/>
      <c r="AM103" s="29"/>
      <c r="AN103" s="29"/>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C6EED-ED67-4768-95FA-E92EA5B73703}">
  <sheetPr codeName="Sheet24"/>
  <dimension ref="A3:AT264"/>
  <sheetViews>
    <sheetView topLeftCell="A184" workbookViewId="0">
      <selection activeCell="A230" sqref="A230:AN264"/>
    </sheetView>
  </sheetViews>
  <sheetFormatPr defaultRowHeight="15" x14ac:dyDescent="0.25"/>
  <cols>
    <col min="21" max="21" width="9.140625" style="91"/>
  </cols>
  <sheetData>
    <row r="3" spans="1:46" x14ac:dyDescent="0.25">
      <c r="A3" s="59" t="s">
        <v>171</v>
      </c>
      <c r="B3" s="2" t="s">
        <v>331</v>
      </c>
      <c r="C3" s="59" t="s">
        <v>170</v>
      </c>
      <c r="D3" s="2" t="s">
        <v>378</v>
      </c>
      <c r="AO3" t="s">
        <v>172</v>
      </c>
      <c r="AP3" t="s">
        <v>332</v>
      </c>
      <c r="AQ3" t="s">
        <v>171</v>
      </c>
      <c r="AR3" t="s">
        <v>331</v>
      </c>
      <c r="AS3" t="s">
        <v>170</v>
      </c>
      <c r="AT3" t="s">
        <v>378</v>
      </c>
    </row>
    <row r="4" spans="1:46" x14ac:dyDescent="0.25">
      <c r="A4" s="40" t="s">
        <v>0</v>
      </c>
      <c r="B4" s="2"/>
      <c r="C4" s="2"/>
      <c r="D4" s="2"/>
      <c r="E4" s="2"/>
      <c r="F4" s="2"/>
      <c r="G4" s="2"/>
      <c r="H4" s="2"/>
      <c r="I4" s="2"/>
      <c r="J4" s="2"/>
      <c r="K4" s="2"/>
      <c r="L4" s="2"/>
      <c r="M4" s="2"/>
      <c r="N4" s="2"/>
      <c r="O4" s="2"/>
      <c r="P4" s="2"/>
      <c r="Q4" s="59" t="s">
        <v>333</v>
      </c>
    </row>
    <row r="5" spans="1:46" x14ac:dyDescent="0.25">
      <c r="A5" s="2">
        <v>1</v>
      </c>
      <c r="B5" s="10" t="s">
        <v>10</v>
      </c>
      <c r="C5" s="10" t="e">
        <f>StartX-F5*COS(RADIANS(T49))</f>
        <v>#NAME?</v>
      </c>
      <c r="D5" s="10" t="e">
        <f>StartY+T48</f>
        <v>#NAME?</v>
      </c>
      <c r="E5" s="10">
        <v>0</v>
      </c>
      <c r="F5" s="75" t="e">
        <f>T48/SIN(RADIANS(T49))</f>
        <v>#NAME?</v>
      </c>
      <c r="G5" s="10" t="e">
        <f>-T49</f>
        <v>#NAME?</v>
      </c>
      <c r="H5" s="10">
        <f>T43</f>
        <v>90</v>
      </c>
      <c r="I5" s="10" t="s">
        <v>39</v>
      </c>
      <c r="J5" s="10">
        <v>16</v>
      </c>
      <c r="K5" s="10" t="e">
        <f t="shared" ref="K5:K6" si="0">Width</f>
        <v>#NAME?</v>
      </c>
      <c r="L5" s="10" t="e">
        <f>Height</f>
        <v>#NAME?</v>
      </c>
      <c r="M5" s="10"/>
      <c r="N5" s="10"/>
      <c r="O5" s="10"/>
      <c r="P5" s="10"/>
      <c r="Q5" s="11" t="s">
        <v>321</v>
      </c>
      <c r="S5" s="97" t="s">
        <v>41</v>
      </c>
      <c r="T5" s="3"/>
      <c r="U5" s="5"/>
    </row>
    <row r="6" spans="1:46" x14ac:dyDescent="0.25">
      <c r="A6" s="2">
        <v>2</v>
      </c>
      <c r="B6" s="12" t="s">
        <v>10</v>
      </c>
      <c r="C6" s="12" t="e">
        <f>StartX+F6*COS(RADIANS(T49))</f>
        <v>#NAME?</v>
      </c>
      <c r="D6" s="12" t="e">
        <f>StartY+T47+T48</f>
        <v>#NAME?</v>
      </c>
      <c r="E6" s="12">
        <v>0</v>
      </c>
      <c r="F6" s="76" t="e">
        <f>T48/SIN(RADIANS(T49))</f>
        <v>#NAME?</v>
      </c>
      <c r="G6" s="12" t="e">
        <f>180+T49</f>
        <v>#NAME?</v>
      </c>
      <c r="H6" s="12">
        <f>T43</f>
        <v>90</v>
      </c>
      <c r="I6" s="12" t="s">
        <v>21</v>
      </c>
      <c r="J6" s="12">
        <v>16</v>
      </c>
      <c r="K6" s="12" t="e">
        <f t="shared" si="0"/>
        <v>#NAME?</v>
      </c>
      <c r="L6" s="12" t="e">
        <f>Height</f>
        <v>#NAME?</v>
      </c>
      <c r="M6" s="12"/>
      <c r="N6" s="12"/>
      <c r="O6" s="12"/>
      <c r="P6" s="12"/>
      <c r="Q6" s="13" t="s">
        <v>322</v>
      </c>
      <c r="S6" s="5" t="s">
        <v>124</v>
      </c>
      <c r="T6" s="5">
        <v>0.2</v>
      </c>
      <c r="U6" s="5" t="s">
        <v>45</v>
      </c>
    </row>
    <row r="7" spans="1:46" x14ac:dyDescent="0.25">
      <c r="A7" s="2">
        <v>3</v>
      </c>
      <c r="B7" s="50" t="s">
        <v>57</v>
      </c>
      <c r="C7" s="51" t="s">
        <v>329</v>
      </c>
      <c r="D7" s="50">
        <v>0</v>
      </c>
      <c r="E7" s="50" t="e">
        <f>Period</f>
        <v>#NAME?</v>
      </c>
      <c r="F7" s="50">
        <v>0</v>
      </c>
      <c r="G7" s="50" t="e">
        <f>UnitCells-1</f>
        <v>#NAME?</v>
      </c>
      <c r="H7" s="50"/>
      <c r="I7" s="50"/>
      <c r="J7" s="50"/>
      <c r="K7" s="50"/>
      <c r="L7" s="50"/>
      <c r="M7" s="50"/>
      <c r="N7" s="50"/>
      <c r="O7" s="50"/>
      <c r="P7" s="50"/>
      <c r="Q7" s="60" t="s">
        <v>326</v>
      </c>
      <c r="S7" s="5" t="s">
        <v>97</v>
      </c>
      <c r="T7" s="5">
        <v>1</v>
      </c>
      <c r="U7" s="5" t="s">
        <v>99</v>
      </c>
    </row>
    <row r="8" spans="1:46" x14ac:dyDescent="0.25">
      <c r="A8" s="2">
        <v>4</v>
      </c>
      <c r="B8" s="14" t="s">
        <v>17</v>
      </c>
      <c r="C8" s="14" t="s">
        <v>328</v>
      </c>
      <c r="D8" s="14" t="s">
        <v>2</v>
      </c>
      <c r="E8" s="14" t="e">
        <f>CONCATENATE("R",QuarterPeriod)</f>
        <v>#NAME?</v>
      </c>
      <c r="F8" s="14" t="s">
        <v>126</v>
      </c>
      <c r="G8" s="14">
        <v>90</v>
      </c>
      <c r="H8" s="14"/>
      <c r="I8" s="14"/>
      <c r="J8" s="14"/>
      <c r="K8" s="14"/>
      <c r="L8" s="14"/>
      <c r="M8" s="14"/>
      <c r="N8" s="14"/>
      <c r="O8" s="14"/>
      <c r="P8" s="14"/>
      <c r="Q8" s="14" t="s">
        <v>323</v>
      </c>
      <c r="S8" s="5" t="s">
        <v>98</v>
      </c>
      <c r="T8" s="5">
        <v>1</v>
      </c>
      <c r="U8" s="5" t="s">
        <v>99</v>
      </c>
    </row>
    <row r="9" spans="1:46" x14ac:dyDescent="0.25">
      <c r="A9" s="2">
        <v>5</v>
      </c>
      <c r="B9" s="15" t="s">
        <v>57</v>
      </c>
      <c r="C9" s="25" t="s">
        <v>314</v>
      </c>
      <c r="D9" s="15" t="e">
        <f>Period</f>
        <v>#NAME?</v>
      </c>
      <c r="E9" s="15">
        <v>0</v>
      </c>
      <c r="F9" s="15">
        <v>0</v>
      </c>
      <c r="G9" s="15" t="e">
        <f>UnitCells-1</f>
        <v>#NAME?</v>
      </c>
      <c r="H9" s="15"/>
      <c r="I9" s="15"/>
      <c r="J9" s="15"/>
      <c r="K9" s="15"/>
      <c r="L9" s="15"/>
      <c r="M9" s="15"/>
      <c r="N9" s="15"/>
      <c r="O9" s="15"/>
      <c r="P9" s="15"/>
      <c r="Q9" s="16" t="s">
        <v>324</v>
      </c>
      <c r="S9" s="5" t="s">
        <v>236</v>
      </c>
      <c r="T9" s="5" t="s">
        <v>247</v>
      </c>
      <c r="U9" s="5"/>
    </row>
    <row r="10" spans="1:46" x14ac:dyDescent="0.25">
      <c r="A10" s="2">
        <v>6</v>
      </c>
      <c r="B10" s="3" t="s">
        <v>57</v>
      </c>
      <c r="C10" s="49" t="s">
        <v>330</v>
      </c>
      <c r="D10" s="3">
        <v>0</v>
      </c>
      <c r="E10" s="3">
        <v>0</v>
      </c>
      <c r="F10" s="3" t="e">
        <f>SecondLayerOffset</f>
        <v>#NAME?</v>
      </c>
      <c r="G10" s="3" t="e">
        <f>NumberOfLayers-1</f>
        <v>#NAME?</v>
      </c>
      <c r="H10" s="3"/>
      <c r="I10" s="3"/>
      <c r="J10" s="3"/>
      <c r="K10" s="3"/>
      <c r="L10" s="3"/>
      <c r="M10" s="3"/>
      <c r="N10" s="3"/>
      <c r="O10" s="3"/>
      <c r="P10" s="3"/>
      <c r="Q10" s="45" t="s">
        <v>325</v>
      </c>
      <c r="S10" s="5" t="s">
        <v>237</v>
      </c>
      <c r="T10" s="5">
        <v>0</v>
      </c>
      <c r="U10" s="5"/>
    </row>
    <row r="11" spans="1:46" x14ac:dyDescent="0.25">
      <c r="A11" s="2">
        <v>7</v>
      </c>
      <c r="B11" s="8" t="s">
        <v>54</v>
      </c>
      <c r="C11" s="8">
        <v>6</v>
      </c>
      <c r="D11" s="72" t="s">
        <v>330</v>
      </c>
      <c r="E11" s="8">
        <v>1</v>
      </c>
      <c r="F11" s="8" t="e">
        <f>NumberOfLayers-1</f>
        <v>#NAME?</v>
      </c>
      <c r="G11" s="8" t="s">
        <v>27</v>
      </c>
      <c r="H11" s="8" t="e">
        <f>StartX+((((UnitCells)*Period))/2)-(HalfPeriod)</f>
        <v>#NAME?</v>
      </c>
      <c r="I11" s="8" t="e">
        <f>StartY+((((UnitCells)*Period))/2)</f>
        <v>#NAME?</v>
      </c>
      <c r="J11" s="8">
        <v>90</v>
      </c>
      <c r="K11" s="8">
        <v>0</v>
      </c>
      <c r="L11" s="8" t="s">
        <v>145</v>
      </c>
      <c r="M11" s="8" t="s">
        <v>145</v>
      </c>
      <c r="N11" s="8"/>
      <c r="O11" s="8"/>
      <c r="P11" s="8"/>
      <c r="Q11" s="9" t="s">
        <v>327</v>
      </c>
      <c r="S11" s="58"/>
      <c r="T11" s="58"/>
      <c r="U11" s="92"/>
    </row>
    <row r="12" spans="1:46" x14ac:dyDescent="0.25">
      <c r="A12" s="2">
        <v>8</v>
      </c>
      <c r="B12" s="29"/>
      <c r="C12" s="29"/>
      <c r="D12" s="29"/>
      <c r="E12" s="29"/>
      <c r="F12" s="29"/>
      <c r="G12" s="29"/>
      <c r="H12" s="29"/>
      <c r="I12" s="29"/>
      <c r="J12" s="29"/>
      <c r="K12" s="29"/>
      <c r="L12" s="29"/>
      <c r="M12" s="29"/>
      <c r="N12" s="29"/>
      <c r="O12" s="29"/>
      <c r="P12" s="29"/>
      <c r="Q12" s="29"/>
      <c r="S12" s="5" t="s">
        <v>383</v>
      </c>
      <c r="T12" s="5">
        <v>60</v>
      </c>
      <c r="U12" s="5" t="s">
        <v>44</v>
      </c>
      <c r="V12" s="1"/>
    </row>
    <row r="13" spans="1:46" ht="14.45" customHeight="1" x14ac:dyDescent="0.25">
      <c r="A13" s="2">
        <v>9</v>
      </c>
      <c r="B13" s="29"/>
      <c r="C13" s="115" t="s">
        <v>388</v>
      </c>
      <c r="D13" s="115"/>
      <c r="E13" s="115"/>
      <c r="F13" s="115"/>
      <c r="G13" s="115"/>
      <c r="H13" s="115"/>
      <c r="I13" s="115"/>
      <c r="J13" s="115"/>
      <c r="K13" s="115"/>
      <c r="L13" s="115"/>
      <c r="M13" s="115"/>
      <c r="N13" s="115"/>
      <c r="O13" s="29"/>
      <c r="P13" s="29"/>
      <c r="Q13" s="29"/>
      <c r="S13" s="5" t="s">
        <v>95</v>
      </c>
      <c r="T13" s="5">
        <v>1000</v>
      </c>
      <c r="U13" s="5" t="s">
        <v>46</v>
      </c>
    </row>
    <row r="14" spans="1:46" x14ac:dyDescent="0.25">
      <c r="A14" s="2">
        <v>10</v>
      </c>
      <c r="B14" s="29"/>
      <c r="C14" s="115" t="s">
        <v>380</v>
      </c>
      <c r="D14" s="115"/>
      <c r="E14" s="115"/>
      <c r="F14" s="115"/>
      <c r="G14" s="115"/>
      <c r="H14" s="115"/>
      <c r="I14" s="115"/>
      <c r="J14" s="115"/>
      <c r="K14" s="115"/>
      <c r="L14" s="115"/>
      <c r="M14" s="115"/>
      <c r="N14" s="115"/>
      <c r="O14" s="29"/>
      <c r="P14" s="29"/>
      <c r="Q14" s="29"/>
      <c r="S14" s="5" t="s">
        <v>96</v>
      </c>
      <c r="T14" s="5">
        <v>9000</v>
      </c>
      <c r="U14" s="5" t="s">
        <v>46</v>
      </c>
    </row>
    <row r="15" spans="1:46" x14ac:dyDescent="0.25">
      <c r="A15" s="2">
        <v>11</v>
      </c>
      <c r="B15" s="29"/>
      <c r="C15" s="116" t="s">
        <v>382</v>
      </c>
      <c r="D15" s="116"/>
      <c r="E15" s="116"/>
      <c r="F15" s="116"/>
      <c r="G15" s="116"/>
      <c r="H15" s="116"/>
      <c r="I15" s="116"/>
      <c r="J15" s="116"/>
      <c r="K15" s="116"/>
      <c r="L15" s="116"/>
      <c r="M15" s="116"/>
      <c r="N15" s="116"/>
      <c r="O15" s="29"/>
      <c r="P15" s="29"/>
      <c r="Q15" s="29"/>
      <c r="S15" s="5" t="s">
        <v>42</v>
      </c>
      <c r="T15" s="5">
        <v>210</v>
      </c>
      <c r="U15" s="5" t="s">
        <v>44</v>
      </c>
      <c r="V15" s="1"/>
    </row>
    <row r="16" spans="1:46" x14ac:dyDescent="0.25">
      <c r="A16" s="2">
        <v>12</v>
      </c>
      <c r="B16" s="29"/>
      <c r="C16" s="116" t="s">
        <v>381</v>
      </c>
      <c r="D16" s="116"/>
      <c r="E16" s="116"/>
      <c r="F16" s="116"/>
      <c r="G16" s="116"/>
      <c r="H16" s="116"/>
      <c r="I16" s="116"/>
      <c r="J16" s="116"/>
      <c r="K16" s="116"/>
      <c r="L16" s="116"/>
      <c r="M16" s="116"/>
      <c r="N16" s="116"/>
      <c r="O16" s="29"/>
      <c r="P16" s="29"/>
      <c r="Q16" s="29"/>
      <c r="S16" s="5" t="s">
        <v>43</v>
      </c>
      <c r="T16" s="5">
        <v>2.85</v>
      </c>
      <c r="U16" s="5" t="s">
        <v>45</v>
      </c>
    </row>
    <row r="17" spans="1:32" x14ac:dyDescent="0.25">
      <c r="A17" s="2">
        <v>13</v>
      </c>
      <c r="B17" s="29"/>
      <c r="C17" s="116" t="s">
        <v>387</v>
      </c>
      <c r="D17" s="116"/>
      <c r="E17" s="116"/>
      <c r="F17" s="116"/>
      <c r="G17" s="116"/>
      <c r="H17" s="116"/>
      <c r="I17" s="116"/>
      <c r="J17" s="116"/>
      <c r="K17" s="116"/>
      <c r="L17" s="116"/>
      <c r="M17" s="116"/>
      <c r="N17" s="116"/>
      <c r="O17" s="29"/>
      <c r="P17" s="29"/>
      <c r="Q17" s="29"/>
      <c r="S17" s="5" t="s">
        <v>47</v>
      </c>
      <c r="T17" s="5" t="s">
        <v>91</v>
      </c>
      <c r="U17" s="5" t="s">
        <v>100</v>
      </c>
    </row>
    <row r="18" spans="1:32" x14ac:dyDescent="0.25">
      <c r="A18" s="2">
        <v>14</v>
      </c>
      <c r="B18" s="29"/>
      <c r="C18" s="29"/>
      <c r="D18" s="29"/>
      <c r="E18" s="29"/>
      <c r="F18" s="29"/>
      <c r="G18" s="29"/>
      <c r="H18" s="29"/>
      <c r="I18" s="29"/>
      <c r="J18" s="29"/>
      <c r="K18" s="29"/>
      <c r="L18" s="29"/>
      <c r="M18" s="29"/>
      <c r="N18" s="29"/>
      <c r="O18" s="29"/>
      <c r="P18" s="29"/>
      <c r="Q18" s="29"/>
      <c r="S18" s="5" t="s">
        <v>134</v>
      </c>
      <c r="T18" s="5" t="s">
        <v>195</v>
      </c>
      <c r="U18" s="5"/>
    </row>
    <row r="19" spans="1:32" x14ac:dyDescent="0.25">
      <c r="A19" s="2">
        <v>15</v>
      </c>
      <c r="B19" s="29"/>
      <c r="C19" s="29"/>
      <c r="D19" s="29"/>
      <c r="E19" s="29"/>
      <c r="F19" s="29"/>
      <c r="G19" s="29"/>
      <c r="H19" s="29"/>
      <c r="I19" s="29"/>
      <c r="J19" s="29"/>
      <c r="K19" s="29"/>
      <c r="L19" s="29"/>
      <c r="M19" s="29"/>
      <c r="N19" s="29"/>
      <c r="O19" s="29"/>
      <c r="P19" s="29"/>
      <c r="Q19" s="29"/>
      <c r="S19" s="5" t="s">
        <v>194</v>
      </c>
      <c r="T19" s="5" t="s">
        <v>165</v>
      </c>
      <c r="U19" s="5"/>
    </row>
    <row r="20" spans="1:32" x14ac:dyDescent="0.25">
      <c r="A20" s="29"/>
      <c r="B20" s="29"/>
      <c r="C20" s="29"/>
      <c r="D20" s="29"/>
      <c r="E20" s="29"/>
      <c r="F20" s="29"/>
      <c r="G20" s="29"/>
      <c r="H20" s="29"/>
      <c r="I20" s="29"/>
      <c r="J20" s="29"/>
      <c r="K20" s="29"/>
      <c r="L20" s="29"/>
      <c r="M20" s="29"/>
      <c r="N20" s="29"/>
      <c r="O20" s="29"/>
      <c r="P20" s="29"/>
      <c r="Q20" s="29"/>
      <c r="S20" s="5" t="s">
        <v>209</v>
      </c>
      <c r="T20" s="5">
        <v>20</v>
      </c>
      <c r="U20" s="5" t="s">
        <v>45</v>
      </c>
    </row>
    <row r="21" spans="1:32" x14ac:dyDescent="0.25">
      <c r="A21" s="29"/>
      <c r="B21" s="29"/>
      <c r="C21" s="29"/>
      <c r="D21" s="29"/>
      <c r="E21" s="29"/>
      <c r="F21" s="29"/>
      <c r="G21" s="29"/>
      <c r="H21" s="29"/>
      <c r="I21" s="29"/>
      <c r="J21" s="29"/>
      <c r="K21" s="29"/>
      <c r="L21" s="29"/>
      <c r="M21" s="29"/>
      <c r="N21" s="29"/>
      <c r="O21" s="29"/>
      <c r="P21" s="29"/>
      <c r="Q21" s="29"/>
      <c r="S21" s="5" t="s">
        <v>210</v>
      </c>
      <c r="T21" s="5">
        <v>10</v>
      </c>
      <c r="U21" s="5" t="s">
        <v>45</v>
      </c>
    </row>
    <row r="22" spans="1:32" x14ac:dyDescent="0.25">
      <c r="A22" s="29"/>
      <c r="B22" s="29"/>
      <c r="C22" s="29"/>
      <c r="D22" s="29"/>
      <c r="E22" s="29"/>
      <c r="F22" s="29"/>
      <c r="G22" s="29"/>
      <c r="H22" s="29"/>
      <c r="I22" s="29"/>
      <c r="J22" s="29"/>
      <c r="K22" s="29"/>
      <c r="L22" s="29"/>
      <c r="M22" s="29"/>
      <c r="N22" s="29"/>
      <c r="O22" s="29"/>
      <c r="P22" s="29"/>
      <c r="Q22" s="29"/>
      <c r="S22" s="5" t="s">
        <v>211</v>
      </c>
      <c r="T22" s="5">
        <v>0.3</v>
      </c>
      <c r="U22" s="5" t="s">
        <v>45</v>
      </c>
    </row>
    <row r="23" spans="1:32" x14ac:dyDescent="0.25">
      <c r="A23" s="29"/>
      <c r="B23" s="29"/>
      <c r="C23" s="29"/>
      <c r="D23" s="29"/>
      <c r="E23" s="29"/>
      <c r="F23" s="29"/>
      <c r="G23" s="29"/>
      <c r="H23" s="29"/>
      <c r="I23" s="29"/>
      <c r="J23" s="29"/>
      <c r="K23" s="29"/>
      <c r="L23" s="29"/>
      <c r="M23" s="29"/>
      <c r="N23" s="29"/>
      <c r="O23" s="29"/>
      <c r="P23" s="29"/>
      <c r="Q23" s="29"/>
      <c r="S23" s="80" t="s">
        <v>384</v>
      </c>
      <c r="T23" s="5">
        <v>0</v>
      </c>
      <c r="U23" s="5"/>
      <c r="V23" s="1"/>
    </row>
    <row r="24" spans="1:32" x14ac:dyDescent="0.25">
      <c r="A24" s="29"/>
      <c r="B24" s="29"/>
      <c r="C24" s="29"/>
      <c r="D24" s="29"/>
      <c r="E24" s="29"/>
      <c r="F24" s="29"/>
      <c r="G24" s="29"/>
      <c r="H24" s="29"/>
      <c r="I24" s="29"/>
      <c r="J24" s="29"/>
      <c r="K24" s="29"/>
      <c r="L24" s="29"/>
      <c r="M24" s="29"/>
      <c r="N24" s="29"/>
      <c r="O24" s="29"/>
      <c r="P24" s="29"/>
      <c r="Q24" s="29"/>
      <c r="S24" s="5" t="s">
        <v>196</v>
      </c>
      <c r="T24" s="5" t="s">
        <v>208</v>
      </c>
      <c r="U24" s="5" t="s">
        <v>200</v>
      </c>
    </row>
    <row r="25" spans="1:32" x14ac:dyDescent="0.25">
      <c r="A25" s="29"/>
      <c r="B25" s="29"/>
      <c r="C25" s="29"/>
      <c r="D25" s="29"/>
      <c r="E25" s="29"/>
      <c r="F25" s="29"/>
      <c r="G25" s="29"/>
      <c r="H25" s="29"/>
      <c r="I25" s="29"/>
      <c r="J25" s="29"/>
      <c r="K25" s="29"/>
      <c r="L25" s="29"/>
      <c r="M25" s="29"/>
      <c r="N25" s="29"/>
      <c r="O25" s="29"/>
      <c r="P25" s="29"/>
      <c r="Q25" s="29"/>
      <c r="S25" s="5" t="s">
        <v>201</v>
      </c>
      <c r="T25" s="5">
        <v>5</v>
      </c>
      <c r="U25" s="5" t="s">
        <v>45</v>
      </c>
      <c r="V25" s="1"/>
    </row>
    <row r="26" spans="1:32" x14ac:dyDescent="0.25">
      <c r="A26" s="29"/>
      <c r="B26" s="29"/>
      <c r="C26" s="29"/>
      <c r="D26" s="29"/>
      <c r="E26" s="29"/>
      <c r="F26" s="29"/>
      <c r="G26" s="29"/>
      <c r="H26" s="29"/>
      <c r="I26" s="29"/>
      <c r="J26" s="29"/>
      <c r="K26" s="29"/>
      <c r="L26" s="29"/>
      <c r="M26" s="29"/>
      <c r="N26" s="29"/>
      <c r="O26" s="29"/>
      <c r="P26" s="29"/>
      <c r="Q26" s="29"/>
      <c r="S26" s="5" t="s">
        <v>202</v>
      </c>
      <c r="T26" s="5">
        <v>7</v>
      </c>
      <c r="U26" s="5" t="s">
        <v>100</v>
      </c>
    </row>
    <row r="27" spans="1:32" x14ac:dyDescent="0.25">
      <c r="A27" s="29"/>
      <c r="B27" s="29"/>
      <c r="C27" s="29"/>
      <c r="D27" s="29"/>
      <c r="E27" s="29"/>
      <c r="F27" s="29"/>
      <c r="G27" s="29"/>
      <c r="H27" s="29"/>
      <c r="I27" s="29"/>
      <c r="J27" s="29"/>
      <c r="K27" s="29"/>
      <c r="L27" s="29"/>
      <c r="M27" s="29"/>
      <c r="N27" s="29"/>
      <c r="O27" s="29"/>
      <c r="P27" s="29"/>
      <c r="Q27" s="29"/>
      <c r="S27" s="5" t="s">
        <v>203</v>
      </c>
      <c r="T27" s="5">
        <v>2500</v>
      </c>
      <c r="U27" s="5" t="s">
        <v>46</v>
      </c>
    </row>
    <row r="28" spans="1:32" x14ac:dyDescent="0.25">
      <c r="A28" s="29"/>
      <c r="B28" s="29"/>
      <c r="C28" s="29"/>
      <c r="D28" s="29"/>
      <c r="E28" s="29"/>
      <c r="F28" s="29"/>
      <c r="G28" s="29"/>
      <c r="H28" s="29"/>
      <c r="I28" s="29"/>
      <c r="J28" s="29"/>
      <c r="K28" s="29"/>
      <c r="L28" s="29"/>
      <c r="M28" s="29"/>
      <c r="N28" s="29"/>
      <c r="O28" s="29"/>
      <c r="P28" s="29"/>
      <c r="Q28" s="29"/>
      <c r="S28" s="5" t="s">
        <v>204</v>
      </c>
      <c r="T28" s="5">
        <f>-T26</f>
        <v>-7</v>
      </c>
      <c r="U28" s="5" t="s">
        <v>100</v>
      </c>
    </row>
    <row r="29" spans="1:32" x14ac:dyDescent="0.25">
      <c r="A29" s="29"/>
      <c r="B29" s="29"/>
      <c r="C29" s="29"/>
      <c r="D29" s="29"/>
      <c r="E29" s="29"/>
      <c r="F29" s="29"/>
      <c r="G29" s="29"/>
      <c r="H29" s="29"/>
      <c r="I29" s="29"/>
      <c r="J29" s="29"/>
      <c r="K29" s="29"/>
      <c r="L29" s="29"/>
      <c r="M29" s="29"/>
      <c r="N29" s="29"/>
      <c r="O29" s="29"/>
      <c r="P29" s="29"/>
      <c r="Q29" s="29"/>
      <c r="S29" s="3" t="s">
        <v>205</v>
      </c>
      <c r="T29" s="3">
        <f>T27</f>
        <v>2500</v>
      </c>
      <c r="U29" s="5" t="s">
        <v>46</v>
      </c>
    </row>
    <row r="30" spans="1:32" x14ac:dyDescent="0.25">
      <c r="A30" s="29"/>
      <c r="B30" s="29"/>
      <c r="C30" s="29"/>
      <c r="D30" s="29"/>
      <c r="E30" s="29"/>
      <c r="F30" s="29"/>
      <c r="G30" s="29"/>
      <c r="H30" s="29"/>
      <c r="I30" s="29"/>
      <c r="J30" s="29"/>
      <c r="K30" s="29"/>
      <c r="L30" s="29"/>
      <c r="M30" s="29"/>
      <c r="N30" s="29"/>
      <c r="O30" s="29"/>
      <c r="P30" s="29"/>
      <c r="Q30" s="29"/>
      <c r="S30" s="3" t="s">
        <v>206</v>
      </c>
      <c r="T30" s="3">
        <v>0.2</v>
      </c>
      <c r="U30" s="5" t="s">
        <v>45</v>
      </c>
    </row>
    <row r="31" spans="1:32" x14ac:dyDescent="0.25">
      <c r="A31" s="29"/>
      <c r="B31" s="29"/>
      <c r="C31" s="29"/>
      <c r="D31" s="29"/>
      <c r="E31" s="29"/>
      <c r="F31" s="29"/>
      <c r="G31" s="29"/>
      <c r="H31" s="29"/>
      <c r="I31" s="29"/>
      <c r="J31" s="29"/>
      <c r="K31" s="29"/>
      <c r="L31" s="29"/>
      <c r="M31" s="29"/>
      <c r="N31" s="29"/>
      <c r="O31" s="29"/>
      <c r="P31" s="29"/>
      <c r="Q31" s="29"/>
      <c r="S31" s="3" t="s">
        <v>207</v>
      </c>
      <c r="T31" s="3">
        <v>7500</v>
      </c>
      <c r="U31" s="5" t="s">
        <v>46</v>
      </c>
    </row>
    <row r="32" spans="1:32" x14ac:dyDescent="0.25">
      <c r="A32" s="29"/>
      <c r="B32" s="29"/>
      <c r="C32" s="29"/>
      <c r="D32" s="29"/>
      <c r="E32" s="29"/>
      <c r="F32" s="29"/>
      <c r="G32" s="29"/>
      <c r="H32" s="29"/>
      <c r="I32" s="29"/>
      <c r="J32" s="29"/>
      <c r="K32" s="29"/>
      <c r="L32" s="29"/>
      <c r="M32" s="29"/>
      <c r="N32" s="29"/>
      <c r="O32" s="29"/>
      <c r="P32" s="29"/>
      <c r="Q32" s="29"/>
      <c r="S32" s="29"/>
      <c r="T32" s="29"/>
      <c r="U32" s="93"/>
      <c r="V32" s="29"/>
      <c r="W32" s="29"/>
      <c r="X32" s="29"/>
      <c r="Y32" s="29"/>
      <c r="Z32" s="29"/>
      <c r="AA32" s="29"/>
      <c r="AB32" s="29"/>
      <c r="AC32" s="29"/>
      <c r="AD32" s="29"/>
      <c r="AE32" s="29"/>
      <c r="AF32" s="29"/>
    </row>
    <row r="33" spans="1:40" x14ac:dyDescent="0.25">
      <c r="A33" s="29"/>
      <c r="B33" s="29"/>
      <c r="C33" s="29"/>
      <c r="D33" s="29"/>
      <c r="E33" s="29"/>
      <c r="F33" s="29"/>
      <c r="G33" s="29"/>
      <c r="H33" s="29"/>
      <c r="I33" s="29"/>
      <c r="J33" s="29"/>
      <c r="K33" s="29"/>
      <c r="L33" s="29"/>
      <c r="M33" s="29"/>
      <c r="N33" s="29"/>
      <c r="O33" s="29"/>
      <c r="P33" s="29"/>
      <c r="Q33" s="29"/>
      <c r="S33" s="98" t="s">
        <v>336</v>
      </c>
      <c r="T33" s="98" t="s">
        <v>337</v>
      </c>
      <c r="U33" s="99" t="s">
        <v>375</v>
      </c>
      <c r="V33" s="29"/>
      <c r="W33" s="29"/>
      <c r="X33" s="29"/>
      <c r="Y33" s="29"/>
      <c r="Z33" s="29"/>
      <c r="AA33" s="29"/>
      <c r="AB33" s="29"/>
      <c r="AC33" s="29"/>
      <c r="AD33" s="29"/>
      <c r="AE33" s="29"/>
      <c r="AF33" s="29"/>
    </row>
    <row r="34" spans="1:40" x14ac:dyDescent="0.25">
      <c r="A34" s="29"/>
      <c r="B34" s="29"/>
      <c r="C34" s="29"/>
      <c r="D34" s="29"/>
      <c r="E34" s="29"/>
      <c r="F34" s="29"/>
      <c r="G34" s="29"/>
      <c r="H34" s="29"/>
      <c r="I34" s="29"/>
      <c r="J34" s="29"/>
      <c r="K34" s="29"/>
      <c r="L34" s="29"/>
      <c r="M34" s="29"/>
      <c r="N34" s="29"/>
      <c r="O34" s="29"/>
      <c r="P34" s="29"/>
      <c r="Q34" s="29"/>
      <c r="R34" s="29"/>
      <c r="S34" s="77"/>
      <c r="T34" s="77"/>
      <c r="U34" s="94"/>
      <c r="V34" s="29"/>
      <c r="W34" s="29"/>
      <c r="X34" s="29"/>
      <c r="Y34" s="29"/>
      <c r="Z34" s="29"/>
      <c r="AA34" s="29"/>
      <c r="AB34" s="29"/>
      <c r="AC34" s="29"/>
      <c r="AD34" s="29"/>
      <c r="AE34" s="29"/>
      <c r="AF34" s="29"/>
      <c r="AG34" s="29"/>
      <c r="AH34" s="29"/>
      <c r="AI34" s="29"/>
      <c r="AJ34" s="29"/>
      <c r="AK34" s="29"/>
      <c r="AL34" s="29"/>
      <c r="AM34" s="29"/>
      <c r="AN34" s="29"/>
    </row>
    <row r="35" spans="1:40" x14ac:dyDescent="0.25">
      <c r="A35" s="29"/>
      <c r="B35" s="29"/>
      <c r="C35" s="29"/>
      <c r="D35" s="29"/>
      <c r="E35" s="29"/>
      <c r="F35" s="29"/>
      <c r="G35" s="29"/>
      <c r="H35" s="29"/>
      <c r="I35" s="29"/>
      <c r="J35" s="29"/>
      <c r="K35" s="29"/>
      <c r="L35" s="29"/>
      <c r="M35" s="29"/>
      <c r="N35" s="29"/>
      <c r="O35" s="29"/>
      <c r="P35" s="29"/>
      <c r="Q35" s="29"/>
      <c r="R35" s="29"/>
      <c r="S35" s="77" t="s">
        <v>370</v>
      </c>
      <c r="T35" s="77"/>
      <c r="U35" s="94"/>
      <c r="V35" s="29"/>
      <c r="W35" s="29"/>
      <c r="X35" s="29"/>
      <c r="Y35" s="29"/>
      <c r="Z35" s="29"/>
      <c r="AA35" s="29"/>
      <c r="AB35" s="29"/>
      <c r="AC35" s="29"/>
      <c r="AD35" s="29"/>
      <c r="AE35" s="29"/>
      <c r="AF35" s="29"/>
      <c r="AG35" s="29"/>
      <c r="AH35" s="29"/>
      <c r="AI35" s="29"/>
      <c r="AJ35" s="29"/>
      <c r="AK35" s="29"/>
      <c r="AL35" s="29"/>
      <c r="AM35" s="29"/>
      <c r="AN35" s="29"/>
    </row>
    <row r="36" spans="1:40" x14ac:dyDescent="0.25">
      <c r="A36" s="29"/>
      <c r="B36" s="29"/>
      <c r="C36" s="29"/>
      <c r="D36" s="29"/>
      <c r="E36" s="29"/>
      <c r="F36" s="29"/>
      <c r="G36" s="29"/>
      <c r="H36" s="29"/>
      <c r="I36" s="29"/>
      <c r="J36" s="29"/>
      <c r="K36" s="29"/>
      <c r="L36" s="29"/>
      <c r="M36" s="29"/>
      <c r="N36" s="29"/>
      <c r="O36" s="29"/>
      <c r="P36" s="29"/>
      <c r="Q36" s="29"/>
      <c r="R36" s="29"/>
      <c r="S36" s="77" t="s">
        <v>315</v>
      </c>
      <c r="T36" s="77">
        <v>50</v>
      </c>
      <c r="U36" s="94" t="s">
        <v>45</v>
      </c>
      <c r="V36" s="29"/>
      <c r="W36" s="29"/>
      <c r="X36" s="29"/>
      <c r="Y36" s="29"/>
      <c r="Z36" s="29"/>
      <c r="AA36" s="29"/>
      <c r="AB36" s="29"/>
      <c r="AC36" s="29"/>
      <c r="AD36" s="29"/>
      <c r="AE36" s="29"/>
      <c r="AF36" s="29"/>
      <c r="AG36" s="29"/>
      <c r="AH36" s="29"/>
      <c r="AI36" s="29"/>
      <c r="AJ36" s="29"/>
      <c r="AK36" s="29"/>
      <c r="AL36" s="29"/>
      <c r="AM36" s="29"/>
      <c r="AN36" s="29"/>
    </row>
    <row r="37" spans="1:40" x14ac:dyDescent="0.25">
      <c r="A37" s="29"/>
      <c r="B37" s="29"/>
      <c r="C37" s="29"/>
      <c r="D37" s="29"/>
      <c r="E37" s="29"/>
      <c r="F37" s="29"/>
      <c r="G37" s="29"/>
      <c r="H37" s="29"/>
      <c r="I37" s="29"/>
      <c r="J37" s="29"/>
      <c r="K37" s="29"/>
      <c r="L37" s="29"/>
      <c r="M37" s="29"/>
      <c r="N37" s="29"/>
      <c r="O37" s="29"/>
      <c r="P37" s="29"/>
      <c r="Q37" s="29"/>
      <c r="R37" s="29"/>
      <c r="S37" s="77" t="s">
        <v>316</v>
      </c>
      <c r="T37" s="77">
        <v>50</v>
      </c>
      <c r="U37" s="94" t="s">
        <v>45</v>
      </c>
      <c r="V37" s="29"/>
      <c r="W37" s="29"/>
      <c r="X37" s="29"/>
      <c r="Y37" s="29"/>
      <c r="Z37" s="29"/>
      <c r="AA37" s="29"/>
      <c r="AB37" s="29"/>
      <c r="AC37" s="29"/>
      <c r="AD37" s="29"/>
      <c r="AE37" s="29"/>
      <c r="AF37" s="29"/>
      <c r="AG37" s="29"/>
      <c r="AH37" s="29"/>
      <c r="AI37" s="29"/>
      <c r="AJ37" s="29"/>
      <c r="AK37" s="29"/>
      <c r="AL37" s="29"/>
      <c r="AM37" s="29"/>
      <c r="AN37" s="29"/>
    </row>
    <row r="38" spans="1:40" x14ac:dyDescent="0.25">
      <c r="A38" s="29"/>
      <c r="B38" s="29"/>
      <c r="C38" s="29"/>
      <c r="D38" s="29"/>
      <c r="E38" s="29"/>
      <c r="F38" s="29"/>
      <c r="G38" s="29"/>
      <c r="H38" s="29"/>
      <c r="I38" s="29"/>
      <c r="J38" s="29"/>
      <c r="K38" s="29"/>
      <c r="L38" s="29"/>
      <c r="M38" s="29"/>
      <c r="N38" s="29"/>
      <c r="O38" s="29"/>
      <c r="P38" s="29"/>
      <c r="Q38" s="29"/>
      <c r="R38" s="29"/>
      <c r="S38" s="77" t="s">
        <v>222</v>
      </c>
      <c r="T38" s="77">
        <v>0.6</v>
      </c>
      <c r="U38" s="94" t="s">
        <v>45</v>
      </c>
      <c r="V38" s="29"/>
      <c r="W38" s="29"/>
      <c r="X38" s="29"/>
      <c r="Y38" s="29"/>
      <c r="Z38" s="29"/>
      <c r="AA38" s="29"/>
      <c r="AB38" s="29"/>
      <c r="AC38" s="29"/>
      <c r="AD38" s="29"/>
      <c r="AE38" s="29"/>
      <c r="AF38" s="29"/>
      <c r="AG38" s="29"/>
      <c r="AH38" s="29"/>
      <c r="AI38" s="29"/>
      <c r="AJ38" s="29"/>
      <c r="AK38" s="29"/>
      <c r="AL38" s="29"/>
      <c r="AM38" s="29"/>
      <c r="AN38" s="29"/>
    </row>
    <row r="39" spans="1:40" x14ac:dyDescent="0.25">
      <c r="A39" s="29"/>
      <c r="B39" s="29"/>
      <c r="C39" s="29"/>
      <c r="D39" s="29"/>
      <c r="E39" s="29"/>
      <c r="F39" s="29"/>
      <c r="G39" s="29"/>
      <c r="H39" s="29"/>
      <c r="I39" s="29"/>
      <c r="J39" s="29"/>
      <c r="K39" s="29"/>
      <c r="L39" s="29"/>
      <c r="M39" s="29"/>
      <c r="N39" s="29"/>
      <c r="O39" s="29"/>
      <c r="P39" s="29"/>
      <c r="Q39" s="29"/>
      <c r="R39" s="29"/>
      <c r="S39" s="77" t="s">
        <v>223</v>
      </c>
      <c r="T39" s="77">
        <v>0.2</v>
      </c>
      <c r="U39" s="94" t="s">
        <v>45</v>
      </c>
      <c r="V39" s="29"/>
      <c r="W39" s="29"/>
      <c r="X39" s="29"/>
      <c r="Y39" s="29"/>
      <c r="Z39" s="29"/>
      <c r="AA39" s="29"/>
      <c r="AB39" s="29"/>
      <c r="AC39" s="29"/>
      <c r="AD39" s="29"/>
      <c r="AE39" s="29"/>
      <c r="AF39" s="29"/>
      <c r="AG39" s="29"/>
      <c r="AH39" s="29"/>
      <c r="AI39" s="29"/>
      <c r="AJ39" s="29"/>
      <c r="AK39" s="29"/>
      <c r="AL39" s="29"/>
      <c r="AM39" s="29"/>
      <c r="AN39" s="29"/>
    </row>
    <row r="40" spans="1:40" x14ac:dyDescent="0.25">
      <c r="A40" s="29"/>
      <c r="B40" s="29"/>
      <c r="C40" s="29"/>
      <c r="D40" s="29"/>
      <c r="E40" s="29"/>
      <c r="F40" s="29"/>
      <c r="G40" s="29"/>
      <c r="H40" s="29"/>
      <c r="I40" s="29"/>
      <c r="J40" s="29"/>
      <c r="K40" s="29"/>
      <c r="L40" s="29"/>
      <c r="M40" s="29"/>
      <c r="N40" s="29"/>
      <c r="O40" s="29"/>
      <c r="P40" s="29"/>
      <c r="Q40" s="29"/>
      <c r="R40" s="29"/>
      <c r="S40" s="77" t="s">
        <v>178</v>
      </c>
      <c r="T40" s="77">
        <v>4</v>
      </c>
      <c r="U40" s="94" t="s">
        <v>99</v>
      </c>
      <c r="V40" s="29"/>
      <c r="W40" s="29"/>
      <c r="X40" s="29"/>
      <c r="Y40" s="29"/>
      <c r="Z40" s="29"/>
      <c r="AA40" s="29"/>
      <c r="AB40" s="29"/>
      <c r="AC40" s="29"/>
      <c r="AD40" s="29"/>
      <c r="AE40" s="29"/>
      <c r="AF40" s="29"/>
      <c r="AG40" s="29"/>
      <c r="AH40" s="29"/>
      <c r="AI40" s="29"/>
      <c r="AJ40" s="29"/>
      <c r="AK40" s="29"/>
      <c r="AL40" s="29"/>
      <c r="AM40" s="29"/>
      <c r="AN40" s="29"/>
    </row>
    <row r="41" spans="1:40" x14ac:dyDescent="0.25">
      <c r="A41" s="29"/>
      <c r="B41" s="29"/>
      <c r="C41" s="29"/>
      <c r="D41" s="29"/>
      <c r="E41" s="29"/>
      <c r="F41" s="29"/>
      <c r="G41" s="29"/>
      <c r="H41" s="29"/>
      <c r="I41" s="29"/>
      <c r="J41" s="29"/>
      <c r="K41" s="29"/>
      <c r="L41" s="29"/>
      <c r="M41" s="29"/>
      <c r="N41" s="29"/>
      <c r="O41" s="29"/>
      <c r="P41" s="29"/>
      <c r="Q41" s="29"/>
      <c r="R41" s="29"/>
      <c r="S41" s="77" t="s">
        <v>129</v>
      </c>
      <c r="T41" s="77">
        <v>16</v>
      </c>
      <c r="U41" s="94" t="s">
        <v>45</v>
      </c>
      <c r="V41" s="29"/>
      <c r="W41" s="29"/>
      <c r="X41" s="29"/>
      <c r="Y41" s="29"/>
      <c r="Z41" s="29"/>
      <c r="AA41" s="29"/>
      <c r="AB41" s="29"/>
      <c r="AC41" s="29"/>
      <c r="AD41" s="29"/>
      <c r="AE41" s="29"/>
      <c r="AF41" s="29"/>
      <c r="AG41" s="29"/>
      <c r="AH41" s="29"/>
      <c r="AI41" s="29"/>
      <c r="AJ41" s="29"/>
      <c r="AK41" s="29"/>
      <c r="AL41" s="29"/>
      <c r="AM41" s="29"/>
      <c r="AN41" s="29"/>
    </row>
    <row r="42" spans="1:40" x14ac:dyDescent="0.25">
      <c r="A42" s="29"/>
      <c r="B42" s="29"/>
      <c r="C42" s="29"/>
      <c r="D42" s="29"/>
      <c r="E42" s="29"/>
      <c r="F42" s="29"/>
      <c r="G42" s="29"/>
      <c r="H42" s="29"/>
      <c r="I42" s="29"/>
      <c r="J42" s="29"/>
      <c r="K42" s="29"/>
      <c r="L42" s="29"/>
      <c r="M42" s="29"/>
      <c r="N42" s="29"/>
      <c r="O42" s="29"/>
      <c r="P42" s="29"/>
      <c r="Q42" s="29"/>
      <c r="R42" s="29"/>
      <c r="S42" s="77" t="s">
        <v>318</v>
      </c>
      <c r="T42" s="77">
        <v>100</v>
      </c>
      <c r="U42" s="94" t="s">
        <v>99</v>
      </c>
      <c r="V42" s="29"/>
      <c r="W42" s="29"/>
      <c r="X42" s="29"/>
      <c r="Y42" s="29"/>
      <c r="Z42" s="29"/>
      <c r="AA42" s="29"/>
      <c r="AB42" s="29"/>
      <c r="AC42" s="29"/>
      <c r="AD42" s="29"/>
      <c r="AE42" s="29"/>
      <c r="AF42" s="29"/>
      <c r="AG42" s="29"/>
      <c r="AH42" s="29"/>
      <c r="AI42" s="29"/>
      <c r="AJ42" s="29"/>
      <c r="AK42" s="29"/>
      <c r="AL42" s="29"/>
      <c r="AM42" s="29"/>
      <c r="AN42" s="29"/>
    </row>
    <row r="43" spans="1:40" x14ac:dyDescent="0.25">
      <c r="A43" s="29"/>
      <c r="B43" s="29"/>
      <c r="C43" s="29"/>
      <c r="D43" s="29"/>
      <c r="E43" s="29"/>
      <c r="F43" s="29"/>
      <c r="G43" s="29"/>
      <c r="H43" s="29"/>
      <c r="I43" s="29"/>
      <c r="J43" s="29"/>
      <c r="K43" s="29"/>
      <c r="L43" s="29"/>
      <c r="M43" s="29"/>
      <c r="N43" s="29"/>
      <c r="O43" s="29"/>
      <c r="P43" s="29"/>
      <c r="Q43" s="29"/>
      <c r="R43" s="29"/>
      <c r="S43" s="77" t="s">
        <v>127</v>
      </c>
      <c r="T43" s="77">
        <v>90</v>
      </c>
      <c r="U43" s="94" t="s">
        <v>179</v>
      </c>
      <c r="V43" s="29"/>
      <c r="W43" s="29"/>
      <c r="X43" s="29"/>
      <c r="Y43" s="29"/>
      <c r="Z43" s="29"/>
      <c r="AA43" s="29"/>
      <c r="AB43" s="29"/>
      <c r="AC43" s="29"/>
      <c r="AD43" s="29"/>
      <c r="AE43" s="29"/>
      <c r="AF43" s="29"/>
      <c r="AG43" s="29"/>
      <c r="AH43" s="29"/>
      <c r="AI43" s="29"/>
      <c r="AJ43" s="29"/>
      <c r="AK43" s="29"/>
      <c r="AL43" s="29"/>
      <c r="AM43" s="29"/>
      <c r="AN43" s="29"/>
    </row>
    <row r="44" spans="1:40" x14ac:dyDescent="0.25">
      <c r="A44" s="29"/>
      <c r="B44" s="29"/>
      <c r="C44" s="29"/>
      <c r="D44" s="29"/>
      <c r="E44" s="29"/>
      <c r="F44" s="29"/>
      <c r="G44" s="29"/>
      <c r="H44" s="29"/>
      <c r="I44" s="29"/>
      <c r="J44" s="29"/>
      <c r="K44" s="29"/>
      <c r="L44" s="29"/>
      <c r="M44" s="29"/>
      <c r="N44" s="29"/>
      <c r="O44" s="29"/>
      <c r="P44" s="29"/>
      <c r="Q44" s="29"/>
      <c r="R44" s="29"/>
      <c r="S44" s="77"/>
      <c r="T44" s="77"/>
      <c r="U44" s="94" t="s">
        <v>136</v>
      </c>
      <c r="V44" s="29"/>
      <c r="W44" s="29"/>
      <c r="X44" s="29"/>
      <c r="Y44" s="29"/>
      <c r="Z44" s="29"/>
      <c r="AA44" s="29"/>
      <c r="AB44" s="29"/>
      <c r="AC44" s="29"/>
      <c r="AD44" s="29"/>
      <c r="AE44" s="29"/>
      <c r="AF44" s="29"/>
      <c r="AG44" s="29"/>
      <c r="AH44" s="29"/>
      <c r="AI44" s="29"/>
      <c r="AJ44" s="29"/>
      <c r="AK44" s="29"/>
      <c r="AL44" s="29"/>
      <c r="AM44" s="29"/>
      <c r="AN44" s="29"/>
    </row>
    <row r="45" spans="1:40" x14ac:dyDescent="0.25">
      <c r="A45" s="29"/>
      <c r="B45" s="29"/>
      <c r="C45" s="29"/>
      <c r="D45" s="29"/>
      <c r="E45" s="29"/>
      <c r="F45" s="29"/>
      <c r="G45" s="29"/>
      <c r="H45" s="29"/>
      <c r="I45" s="29"/>
      <c r="J45" s="29"/>
      <c r="K45" s="29"/>
      <c r="L45" s="29"/>
      <c r="M45" s="29"/>
      <c r="N45" s="29"/>
      <c r="O45" s="29"/>
      <c r="P45" s="29"/>
      <c r="Q45" s="29"/>
      <c r="R45" s="29"/>
      <c r="S45" s="77"/>
      <c r="T45" s="77"/>
      <c r="U45" s="94" t="s">
        <v>136</v>
      </c>
      <c r="V45" s="29"/>
      <c r="W45" s="29"/>
      <c r="X45" s="29"/>
      <c r="Y45" s="29"/>
      <c r="Z45" s="29"/>
      <c r="AA45" s="29"/>
      <c r="AB45" s="29"/>
      <c r="AC45" s="29"/>
      <c r="AD45" s="29"/>
      <c r="AE45" s="29"/>
      <c r="AF45" s="29"/>
      <c r="AG45" s="29"/>
      <c r="AH45" s="29"/>
      <c r="AI45" s="29"/>
      <c r="AJ45" s="29"/>
      <c r="AK45" s="29"/>
      <c r="AL45" s="29"/>
      <c r="AM45" s="29"/>
      <c r="AN45" s="29"/>
    </row>
    <row r="46" spans="1:40" x14ac:dyDescent="0.25">
      <c r="A46" s="29"/>
      <c r="B46" s="29"/>
      <c r="C46" s="29"/>
      <c r="D46" s="29"/>
      <c r="E46" s="29"/>
      <c r="F46" s="29"/>
      <c r="G46" s="29"/>
      <c r="H46" s="29"/>
      <c r="I46" s="29"/>
      <c r="J46" s="29"/>
      <c r="K46" s="29"/>
      <c r="L46" s="29"/>
      <c r="M46" s="29"/>
      <c r="N46" s="29"/>
      <c r="O46" s="29"/>
      <c r="P46" s="29"/>
      <c r="Q46" s="29"/>
      <c r="R46" s="29"/>
      <c r="S46" s="79" t="s">
        <v>371</v>
      </c>
      <c r="T46" s="79"/>
      <c r="U46" s="94"/>
      <c r="V46" s="29"/>
      <c r="W46" s="29"/>
      <c r="X46" s="29"/>
      <c r="Y46" s="29"/>
      <c r="Z46" s="29"/>
      <c r="AA46" s="29"/>
      <c r="AB46" s="29"/>
      <c r="AC46" s="29"/>
      <c r="AD46" s="29"/>
      <c r="AE46" s="29"/>
      <c r="AF46" s="29"/>
      <c r="AG46" s="29"/>
      <c r="AH46" s="29"/>
      <c r="AI46" s="29"/>
      <c r="AJ46" s="29"/>
      <c r="AK46" s="29"/>
      <c r="AL46" s="29"/>
      <c r="AM46" s="29"/>
      <c r="AN46" s="29"/>
    </row>
    <row r="47" spans="1:40" x14ac:dyDescent="0.25">
      <c r="A47" s="29"/>
      <c r="B47" s="29"/>
      <c r="C47" s="29"/>
      <c r="D47" s="29"/>
      <c r="E47" s="29"/>
      <c r="F47" s="29"/>
      <c r="G47" s="29"/>
      <c r="H47" s="29"/>
      <c r="I47" s="29"/>
      <c r="J47" s="29"/>
      <c r="K47" s="29"/>
      <c r="L47" s="29"/>
      <c r="M47" s="29"/>
      <c r="N47" s="29"/>
      <c r="O47" s="29"/>
      <c r="P47" s="29"/>
      <c r="Q47" s="29"/>
      <c r="R47" s="29"/>
      <c r="S47" s="79" t="s">
        <v>130</v>
      </c>
      <c r="T47" s="79" t="e">
        <f>Period/2</f>
        <v>#NAME?</v>
      </c>
      <c r="U47" s="94" t="s">
        <v>45</v>
      </c>
      <c r="V47" s="29"/>
      <c r="W47" s="29"/>
      <c r="X47" s="29"/>
      <c r="Y47" s="29"/>
      <c r="Z47" s="29"/>
      <c r="AA47" s="29"/>
      <c r="AB47" s="29"/>
      <c r="AC47" s="29"/>
      <c r="AD47" s="29"/>
      <c r="AE47" s="29"/>
      <c r="AF47" s="29"/>
      <c r="AG47" s="29"/>
      <c r="AH47" s="29"/>
      <c r="AI47" s="29"/>
      <c r="AJ47" s="29"/>
      <c r="AK47" s="29"/>
      <c r="AL47" s="29"/>
      <c r="AM47" s="29"/>
      <c r="AN47" s="29"/>
    </row>
    <row r="48" spans="1:40" x14ac:dyDescent="0.25">
      <c r="A48" s="29"/>
      <c r="B48" s="29"/>
      <c r="C48" s="29"/>
      <c r="D48" s="29"/>
      <c r="E48" s="29"/>
      <c r="F48" s="29"/>
      <c r="G48" s="29"/>
      <c r="H48" s="29"/>
      <c r="I48" s="29"/>
      <c r="J48" s="29"/>
      <c r="K48" s="29"/>
      <c r="L48" s="29"/>
      <c r="M48" s="29"/>
      <c r="N48" s="29"/>
      <c r="O48" s="29"/>
      <c r="P48" s="29"/>
      <c r="Q48" s="29"/>
      <c r="R48" s="29"/>
      <c r="S48" s="79" t="s">
        <v>131</v>
      </c>
      <c r="T48" s="79" t="e">
        <f>Period/4</f>
        <v>#NAME?</v>
      </c>
      <c r="U48" s="94" t="s">
        <v>45</v>
      </c>
      <c r="V48" s="29"/>
      <c r="W48" s="29"/>
      <c r="X48" s="29"/>
      <c r="Y48" s="29"/>
      <c r="Z48" s="29"/>
      <c r="AA48" s="29"/>
      <c r="AB48" s="29"/>
      <c r="AC48" s="29"/>
      <c r="AD48" s="29"/>
      <c r="AE48" s="29"/>
      <c r="AF48" s="29"/>
      <c r="AG48" s="29"/>
      <c r="AH48" s="29"/>
      <c r="AI48" s="29"/>
      <c r="AJ48" s="29"/>
      <c r="AK48" s="29"/>
      <c r="AL48" s="29"/>
      <c r="AM48" s="29"/>
      <c r="AN48" s="29"/>
    </row>
    <row r="49" spans="1:46" x14ac:dyDescent="0.25">
      <c r="S49" s="79" t="s">
        <v>128</v>
      </c>
      <c r="T49" s="79" t="e">
        <f>ArcAngle/2</f>
        <v>#NAME?</v>
      </c>
      <c r="U49" s="94" t="s">
        <v>179</v>
      </c>
    </row>
    <row r="50" spans="1:46" x14ac:dyDescent="0.25">
      <c r="S50" s="79" t="s">
        <v>320</v>
      </c>
      <c r="T50" s="79" t="e">
        <f>NumberOfLayers*SecondLayerOffset</f>
        <v>#NAME?</v>
      </c>
      <c r="U50" s="94" t="s">
        <v>45</v>
      </c>
    </row>
    <row r="51" spans="1:46" x14ac:dyDescent="0.25">
      <c r="S51" s="79" t="s">
        <v>319</v>
      </c>
      <c r="T51" s="79" t="e">
        <f>Height/2</f>
        <v>#NAME?</v>
      </c>
      <c r="U51" s="94" t="s">
        <v>45</v>
      </c>
    </row>
    <row r="53" spans="1:46" x14ac:dyDescent="0.25">
      <c r="A53" s="59" t="s">
        <v>171</v>
      </c>
      <c r="B53" s="2" t="s">
        <v>366</v>
      </c>
      <c r="C53" s="59" t="s">
        <v>170</v>
      </c>
      <c r="D53" s="2" t="s">
        <v>378</v>
      </c>
      <c r="E53" s="29"/>
      <c r="F53" s="29"/>
      <c r="G53" s="29"/>
      <c r="H53" s="29"/>
      <c r="I53" s="29"/>
      <c r="J53" s="29"/>
      <c r="K53" s="29"/>
      <c r="L53" s="29"/>
      <c r="M53" s="29"/>
      <c r="N53" s="29"/>
      <c r="O53" s="29"/>
      <c r="P53" s="29"/>
      <c r="AO53" t="s">
        <v>172</v>
      </c>
      <c r="AP53" t="s">
        <v>365</v>
      </c>
      <c r="AQ53" t="s">
        <v>171</v>
      </c>
      <c r="AR53" t="s">
        <v>366</v>
      </c>
      <c r="AS53" t="s">
        <v>170</v>
      </c>
      <c r="AT53" t="s">
        <v>378</v>
      </c>
    </row>
    <row r="54" spans="1:46" x14ac:dyDescent="0.25">
      <c r="A54" s="40" t="s">
        <v>0</v>
      </c>
      <c r="B54" s="41"/>
      <c r="C54" s="18"/>
      <c r="D54" s="18"/>
      <c r="E54" s="18"/>
      <c r="F54" s="18"/>
      <c r="G54" s="18"/>
      <c r="H54" s="18"/>
      <c r="I54" s="18"/>
      <c r="J54" s="18"/>
      <c r="K54" s="18"/>
      <c r="L54" s="18"/>
      <c r="M54" s="18"/>
      <c r="N54" s="18"/>
      <c r="O54" s="18"/>
      <c r="P54" s="18"/>
      <c r="Q54" s="59" t="s">
        <v>333</v>
      </c>
    </row>
    <row r="55" spans="1:46" x14ac:dyDescent="0.25">
      <c r="A55" s="20">
        <v>1</v>
      </c>
      <c r="B55" s="28" t="s">
        <v>1</v>
      </c>
      <c r="C55" s="28" t="s">
        <v>19</v>
      </c>
      <c r="D55" s="28">
        <v>50</v>
      </c>
      <c r="E55" s="28">
        <v>50</v>
      </c>
      <c r="F55" s="28">
        <v>0</v>
      </c>
      <c r="G55" s="28" t="s">
        <v>126</v>
      </c>
      <c r="H55" s="28" t="s">
        <v>166</v>
      </c>
      <c r="I55" s="28" t="s">
        <v>126</v>
      </c>
      <c r="J55" s="28" t="s">
        <v>20</v>
      </c>
      <c r="K55" s="28">
        <f>_xlfn.SINGLE(ShoulderThickness)</f>
        <v>0</v>
      </c>
      <c r="L55" s="28">
        <f>_xlfn.SINGLE(LayerHeight)</f>
        <v>0</v>
      </c>
      <c r="M55" s="28"/>
      <c r="N55" s="28"/>
      <c r="O55" s="28"/>
      <c r="P55" s="28"/>
      <c r="Q55" s="6" t="s">
        <v>354</v>
      </c>
      <c r="S55" s="97" t="s">
        <v>41</v>
      </c>
      <c r="T55" s="3"/>
      <c r="U55" s="5"/>
    </row>
    <row r="56" spans="1:46" x14ac:dyDescent="0.25">
      <c r="A56" s="20">
        <v>2</v>
      </c>
      <c r="B56" s="26" t="s">
        <v>56</v>
      </c>
      <c r="C56" s="19" t="s">
        <v>334</v>
      </c>
      <c r="D56" s="26">
        <f>50+(45/2)</f>
        <v>72.5</v>
      </c>
      <c r="E56" s="26">
        <f>50+(45/2)</f>
        <v>72.5</v>
      </c>
      <c r="F56" s="26">
        <v>-90</v>
      </c>
      <c r="G56" s="26">
        <v>0</v>
      </c>
      <c r="H56" s="26">
        <v>3</v>
      </c>
      <c r="I56" s="26"/>
      <c r="J56" s="26"/>
      <c r="K56" s="26"/>
      <c r="L56" s="26"/>
      <c r="M56" s="26"/>
      <c r="N56" s="26"/>
      <c r="O56" s="26"/>
      <c r="P56" s="26"/>
      <c r="Q56" s="24" t="s">
        <v>355</v>
      </c>
      <c r="S56" s="5" t="s">
        <v>124</v>
      </c>
      <c r="T56" s="5">
        <v>0.2</v>
      </c>
      <c r="U56" s="5" t="s">
        <v>45</v>
      </c>
    </row>
    <row r="57" spans="1:46" x14ac:dyDescent="0.25">
      <c r="A57" s="20">
        <v>3</v>
      </c>
      <c r="B57" s="23" t="s">
        <v>57</v>
      </c>
      <c r="C57" s="22" t="s">
        <v>329</v>
      </c>
      <c r="D57" s="23">
        <v>0</v>
      </c>
      <c r="E57" s="23">
        <v>0</v>
      </c>
      <c r="F57" s="23">
        <f>_xlfn.SINGLE(LayerHeight)</f>
        <v>0</v>
      </c>
      <c r="G57" s="23" t="e">
        <f>(45/_xlfn.SINGLE(LayerHeight))-1</f>
        <v>#DIV/0!</v>
      </c>
      <c r="H57" s="23"/>
      <c r="I57" s="23"/>
      <c r="J57" s="23"/>
      <c r="K57" s="23"/>
      <c r="L57" s="23"/>
      <c r="M57" s="23"/>
      <c r="N57" s="23"/>
      <c r="O57" s="23"/>
      <c r="P57" s="23"/>
      <c r="Q57" s="7" t="s">
        <v>356</v>
      </c>
      <c r="S57" s="5" t="s">
        <v>97</v>
      </c>
      <c r="T57" s="5">
        <v>1</v>
      </c>
      <c r="U57" s="5" t="s">
        <v>99</v>
      </c>
    </row>
    <row r="58" spans="1:46" x14ac:dyDescent="0.25">
      <c r="A58" s="20">
        <v>4</v>
      </c>
      <c r="B58" s="35" t="s">
        <v>54</v>
      </c>
      <c r="C58" s="35">
        <v>3</v>
      </c>
      <c r="D58" s="36" t="s">
        <v>23</v>
      </c>
      <c r="E58" s="35" t="e">
        <f>14/_xlfn.SINGLE(LayerHeight)-1</f>
        <v>#DIV/0!</v>
      </c>
      <c r="F58" s="35" t="e">
        <f>(14+1.4)/_xlfn.SINGLE(LayerHeight)-1</f>
        <v>#DIV/0!</v>
      </c>
      <c r="G58" s="35" t="s">
        <v>25</v>
      </c>
      <c r="H58" s="35" t="e">
        <f>-(_xlfn.SINGLE(ShoulderThickness)-_xlfn.SINGLE(GaugeThickness))/(F58-E58)</f>
        <v>#DIV/0!</v>
      </c>
      <c r="I58" s="35"/>
      <c r="J58" s="35"/>
      <c r="K58" s="35"/>
      <c r="L58" s="35"/>
      <c r="M58" s="35"/>
      <c r="N58" s="35"/>
      <c r="O58" s="35"/>
      <c r="P58" s="35"/>
      <c r="Q58" s="9" t="s">
        <v>358</v>
      </c>
      <c r="S58" s="5" t="s">
        <v>98</v>
      </c>
      <c r="T58" s="5">
        <v>1</v>
      </c>
      <c r="U58" s="5" t="s">
        <v>99</v>
      </c>
    </row>
    <row r="59" spans="1:46" x14ac:dyDescent="0.25">
      <c r="A59" s="20">
        <v>5</v>
      </c>
      <c r="B59" s="37" t="s">
        <v>54</v>
      </c>
      <c r="C59" s="37">
        <v>3</v>
      </c>
      <c r="D59" s="38" t="s">
        <v>23</v>
      </c>
      <c r="E59" s="37" t="e">
        <f>(14+1.4)/_xlfn.SINGLE(LayerHeight)-1</f>
        <v>#DIV/0!</v>
      </c>
      <c r="F59" s="37" t="e">
        <f>(14+1.4+14)/_xlfn.SINGLE(LayerHeight)-1</f>
        <v>#DIV/0!</v>
      </c>
      <c r="G59" s="37" t="s">
        <v>15</v>
      </c>
      <c r="H59" s="37">
        <f>_xlfn.SINGLE(GaugeThickness)</f>
        <v>0</v>
      </c>
      <c r="I59" s="37"/>
      <c r="J59" s="37"/>
      <c r="K59" s="37"/>
      <c r="L59" s="37"/>
      <c r="M59" s="37"/>
      <c r="N59" s="37"/>
      <c r="O59" s="37"/>
      <c r="P59" s="37"/>
      <c r="Q59" s="17" t="s">
        <v>357</v>
      </c>
      <c r="S59" s="5" t="s">
        <v>236</v>
      </c>
      <c r="T59" s="5" t="s">
        <v>247</v>
      </c>
      <c r="U59" s="5"/>
    </row>
    <row r="60" spans="1:46" x14ac:dyDescent="0.25">
      <c r="A60" s="20">
        <v>6</v>
      </c>
      <c r="B60" s="27" t="s">
        <v>54</v>
      </c>
      <c r="C60" s="27">
        <v>3</v>
      </c>
      <c r="D60" s="39" t="s">
        <v>23</v>
      </c>
      <c r="E60" s="27" t="e">
        <f>(14+1.4+14)/_xlfn.SINGLE(LayerHeight)-1</f>
        <v>#DIV/0!</v>
      </c>
      <c r="F60" s="27" t="e">
        <f>(14+1.4+14+1.4)/_xlfn.SINGLE(LayerHeight)-1</f>
        <v>#DIV/0!</v>
      </c>
      <c r="G60" s="27" t="s">
        <v>15</v>
      </c>
      <c r="H60" s="27">
        <f>_xlfn.SINGLE(GaugeThickness)</f>
        <v>0</v>
      </c>
      <c r="I60" s="27"/>
      <c r="J60" s="27"/>
      <c r="K60" s="27"/>
      <c r="L60" s="27"/>
      <c r="M60" s="27"/>
      <c r="N60" s="27"/>
      <c r="O60" s="27"/>
      <c r="P60" s="27"/>
      <c r="Q60" s="16" t="s">
        <v>360</v>
      </c>
      <c r="S60" s="5" t="s">
        <v>237</v>
      </c>
      <c r="T60" s="5">
        <v>0</v>
      </c>
      <c r="U60" s="5"/>
    </row>
    <row r="61" spans="1:46" x14ac:dyDescent="0.25">
      <c r="A61" s="20">
        <v>7</v>
      </c>
      <c r="B61" s="27" t="s">
        <v>54</v>
      </c>
      <c r="C61" s="27">
        <v>3</v>
      </c>
      <c r="D61" s="39" t="s">
        <v>23</v>
      </c>
      <c r="E61" s="27" t="e">
        <f>(14+1.4+14)/_xlfn.SINGLE(LayerHeight)-1</f>
        <v>#DIV/0!</v>
      </c>
      <c r="F61" s="27" t="e">
        <f>(14+1.4+14+1.4)/_xlfn.SINGLE(LayerHeight)-1</f>
        <v>#DIV/0!</v>
      </c>
      <c r="G61" s="27" t="s">
        <v>25</v>
      </c>
      <c r="H61" s="27" t="e">
        <f>(_xlfn.SINGLE(ShoulderThickness)-_xlfn.SINGLE(GaugeThickness))/(F61-E61)</f>
        <v>#DIV/0!</v>
      </c>
      <c r="I61" s="27"/>
      <c r="J61" s="27"/>
      <c r="K61" s="27"/>
      <c r="L61" s="27"/>
      <c r="M61" s="27"/>
      <c r="N61" s="27"/>
      <c r="O61" s="27"/>
      <c r="P61" s="27"/>
      <c r="Q61" s="16" t="s">
        <v>359</v>
      </c>
      <c r="S61" s="58"/>
      <c r="T61" s="58"/>
      <c r="U61" s="92"/>
    </row>
    <row r="62" spans="1:46" x14ac:dyDescent="0.25">
      <c r="A62" s="20">
        <v>8</v>
      </c>
      <c r="B62" s="20"/>
      <c r="C62" s="20"/>
      <c r="D62" s="20"/>
      <c r="E62" s="20"/>
      <c r="F62" s="20"/>
      <c r="G62" s="20"/>
      <c r="H62" s="20"/>
      <c r="I62" s="20"/>
      <c r="J62" s="20"/>
      <c r="K62" s="20"/>
      <c r="L62" s="20"/>
      <c r="M62" s="20"/>
      <c r="N62" s="20"/>
      <c r="O62" s="20"/>
      <c r="P62" s="20"/>
      <c r="Q62" s="20"/>
      <c r="S62" s="5" t="s">
        <v>383</v>
      </c>
      <c r="T62" s="5">
        <v>60</v>
      </c>
      <c r="U62" s="5" t="s">
        <v>44</v>
      </c>
      <c r="V62" s="1"/>
    </row>
    <row r="63" spans="1:46" x14ac:dyDescent="0.25">
      <c r="A63" s="20">
        <v>9</v>
      </c>
      <c r="B63" s="20"/>
      <c r="C63" s="20"/>
      <c r="D63" s="20" t="s">
        <v>361</v>
      </c>
      <c r="E63" s="20"/>
      <c r="F63" s="46" t="s">
        <v>362</v>
      </c>
      <c r="G63" s="20"/>
      <c r="H63" s="20"/>
      <c r="I63" s="20"/>
      <c r="J63" s="20"/>
      <c r="K63" s="20"/>
      <c r="L63" s="20"/>
      <c r="M63" s="20"/>
      <c r="N63" s="20"/>
      <c r="O63" s="20"/>
      <c r="P63" s="20"/>
      <c r="Q63" s="20"/>
      <c r="S63" s="5" t="s">
        <v>95</v>
      </c>
      <c r="T63" s="5">
        <v>1000</v>
      </c>
      <c r="U63" s="5" t="s">
        <v>46</v>
      </c>
    </row>
    <row r="64" spans="1:46" x14ac:dyDescent="0.25">
      <c r="A64" s="20">
        <v>10</v>
      </c>
      <c r="B64" s="20"/>
      <c r="C64" s="20"/>
      <c r="D64" s="20"/>
      <c r="E64" s="20"/>
      <c r="F64" s="46" t="s">
        <v>363</v>
      </c>
      <c r="G64" s="20"/>
      <c r="H64" s="20"/>
      <c r="I64" s="20"/>
      <c r="J64" s="20"/>
      <c r="K64" s="20"/>
      <c r="L64" s="20"/>
      <c r="M64" s="20"/>
      <c r="N64" s="20"/>
      <c r="O64" s="20"/>
      <c r="P64" s="20"/>
      <c r="Q64" s="20"/>
      <c r="S64" s="5" t="s">
        <v>96</v>
      </c>
      <c r="T64" s="5">
        <v>9000</v>
      </c>
      <c r="U64" s="5" t="s">
        <v>46</v>
      </c>
    </row>
    <row r="65" spans="1:22" x14ac:dyDescent="0.25">
      <c r="A65" s="20">
        <v>11</v>
      </c>
      <c r="B65" s="20"/>
      <c r="C65" s="20"/>
      <c r="D65" s="20"/>
      <c r="E65" s="20"/>
      <c r="F65" s="46" t="s">
        <v>364</v>
      </c>
      <c r="G65" s="20"/>
      <c r="H65" s="20"/>
      <c r="I65" s="20"/>
      <c r="J65" s="20"/>
      <c r="K65" s="20"/>
      <c r="L65" s="20"/>
      <c r="M65" s="20"/>
      <c r="N65" s="20"/>
      <c r="O65" s="20"/>
      <c r="P65" s="20"/>
      <c r="Q65" s="20"/>
      <c r="S65" s="5" t="s">
        <v>42</v>
      </c>
      <c r="T65" s="5">
        <v>210</v>
      </c>
      <c r="U65" s="5" t="s">
        <v>44</v>
      </c>
      <c r="V65" s="1"/>
    </row>
    <row r="66" spans="1:22" x14ac:dyDescent="0.25">
      <c r="A66" s="29"/>
      <c r="B66" s="29"/>
      <c r="C66" s="29"/>
      <c r="D66" s="29"/>
      <c r="E66" s="29"/>
      <c r="F66" s="29"/>
      <c r="G66" s="29"/>
      <c r="H66" s="29"/>
      <c r="I66" s="29"/>
      <c r="J66" s="29"/>
      <c r="K66" s="29"/>
      <c r="L66" s="29"/>
      <c r="M66" s="29"/>
      <c r="N66" s="29"/>
      <c r="O66" s="29"/>
      <c r="P66" s="29"/>
      <c r="Q66" s="29"/>
      <c r="S66" s="5" t="s">
        <v>43</v>
      </c>
      <c r="T66" s="5">
        <v>2.85</v>
      </c>
      <c r="U66" s="5" t="s">
        <v>45</v>
      </c>
    </row>
    <row r="67" spans="1:22" x14ac:dyDescent="0.25">
      <c r="A67" s="29"/>
      <c r="B67" s="29"/>
      <c r="C67" s="29"/>
      <c r="D67" s="29"/>
      <c r="E67" s="29"/>
      <c r="F67" s="29"/>
      <c r="G67" s="29"/>
      <c r="H67" s="29"/>
      <c r="I67" s="29"/>
      <c r="J67" s="29"/>
      <c r="K67" s="29"/>
      <c r="L67" s="29"/>
      <c r="M67" s="29"/>
      <c r="N67" s="29"/>
      <c r="O67" s="29"/>
      <c r="P67" s="29"/>
      <c r="Q67" s="29"/>
      <c r="S67" s="5" t="s">
        <v>47</v>
      </c>
      <c r="T67" s="5" t="s">
        <v>91</v>
      </c>
      <c r="U67" s="5" t="s">
        <v>100</v>
      </c>
    </row>
    <row r="68" spans="1:22" x14ac:dyDescent="0.25">
      <c r="A68" s="29"/>
      <c r="B68" s="29"/>
      <c r="C68" s="29"/>
      <c r="D68" s="29"/>
      <c r="E68" s="29"/>
      <c r="F68" s="29"/>
      <c r="G68" s="29"/>
      <c r="H68" s="29"/>
      <c r="I68" s="29"/>
      <c r="J68" s="29"/>
      <c r="K68" s="29"/>
      <c r="L68" s="29"/>
      <c r="M68" s="29"/>
      <c r="N68" s="29"/>
      <c r="O68" s="29"/>
      <c r="P68" s="29"/>
      <c r="Q68" s="29"/>
      <c r="S68" s="5" t="s">
        <v>134</v>
      </c>
      <c r="T68" s="5" t="s">
        <v>195</v>
      </c>
      <c r="U68" s="5"/>
    </row>
    <row r="69" spans="1:22" x14ac:dyDescent="0.25">
      <c r="A69" s="29"/>
      <c r="B69" s="29"/>
      <c r="C69" s="29"/>
      <c r="D69" s="29"/>
      <c r="E69" s="29"/>
      <c r="F69" s="29"/>
      <c r="G69" s="29"/>
      <c r="H69" s="29"/>
      <c r="I69" s="29"/>
      <c r="J69" s="29"/>
      <c r="K69" s="29"/>
      <c r="L69" s="29"/>
      <c r="M69" s="29"/>
      <c r="N69" s="29"/>
      <c r="O69" s="29"/>
      <c r="P69" s="29"/>
      <c r="Q69" s="29"/>
      <c r="S69" s="5" t="s">
        <v>194</v>
      </c>
      <c r="T69" s="5" t="s">
        <v>165</v>
      </c>
      <c r="U69" s="5"/>
    </row>
    <row r="70" spans="1:22" x14ac:dyDescent="0.25">
      <c r="A70" s="29"/>
      <c r="B70" s="29"/>
      <c r="C70" s="29"/>
      <c r="D70" s="29"/>
      <c r="E70" s="29"/>
      <c r="F70" s="29"/>
      <c r="G70" s="29"/>
      <c r="H70" s="29"/>
      <c r="I70" s="29"/>
      <c r="J70" s="29"/>
      <c r="K70" s="29"/>
      <c r="L70" s="29"/>
      <c r="M70" s="29"/>
      <c r="N70" s="29"/>
      <c r="O70" s="29"/>
      <c r="P70" s="29"/>
      <c r="Q70" s="29"/>
      <c r="S70" s="5" t="s">
        <v>209</v>
      </c>
      <c r="T70" s="5">
        <v>20</v>
      </c>
      <c r="U70" s="5" t="s">
        <v>45</v>
      </c>
    </row>
    <row r="71" spans="1:22" x14ac:dyDescent="0.25">
      <c r="A71" s="29"/>
      <c r="B71" s="29"/>
      <c r="C71" s="29"/>
      <c r="D71" s="29"/>
      <c r="E71" s="29"/>
      <c r="F71" s="29"/>
      <c r="G71" s="29"/>
      <c r="H71" s="29"/>
      <c r="I71" s="29"/>
      <c r="J71" s="29"/>
      <c r="K71" s="29"/>
      <c r="L71" s="29"/>
      <c r="M71" s="29"/>
      <c r="N71" s="29"/>
      <c r="O71" s="29"/>
      <c r="P71" s="29"/>
      <c r="Q71" s="29"/>
      <c r="S71" s="5" t="s">
        <v>210</v>
      </c>
      <c r="T71" s="5">
        <v>10</v>
      </c>
      <c r="U71" s="5" t="s">
        <v>45</v>
      </c>
    </row>
    <row r="72" spans="1:22" x14ac:dyDescent="0.25">
      <c r="A72" s="29"/>
      <c r="B72" s="29"/>
      <c r="C72" s="29"/>
      <c r="D72" s="29"/>
      <c r="E72" s="29"/>
      <c r="F72" s="29"/>
      <c r="G72" s="29"/>
      <c r="H72" s="29"/>
      <c r="I72" s="29"/>
      <c r="J72" s="29"/>
      <c r="K72" s="29"/>
      <c r="L72" s="29"/>
      <c r="M72" s="29"/>
      <c r="N72" s="29"/>
      <c r="O72" s="29"/>
      <c r="P72" s="29"/>
      <c r="Q72" s="29"/>
      <c r="S72" s="5" t="s">
        <v>211</v>
      </c>
      <c r="T72" s="5">
        <v>0.3</v>
      </c>
      <c r="U72" s="5" t="s">
        <v>45</v>
      </c>
    </row>
    <row r="73" spans="1:22" x14ac:dyDescent="0.25">
      <c r="A73" s="29"/>
      <c r="B73" s="29"/>
      <c r="C73" s="29"/>
      <c r="D73" s="29"/>
      <c r="E73" s="29"/>
      <c r="F73" s="29"/>
      <c r="G73" s="29"/>
      <c r="H73" s="29"/>
      <c r="I73" s="29"/>
      <c r="J73" s="29"/>
      <c r="K73" s="29"/>
      <c r="L73" s="29"/>
      <c r="M73" s="29"/>
      <c r="N73" s="29"/>
      <c r="O73" s="29"/>
      <c r="P73" s="29"/>
      <c r="Q73" s="29"/>
      <c r="S73" s="80" t="s">
        <v>384</v>
      </c>
      <c r="T73" s="5">
        <v>0</v>
      </c>
      <c r="U73" s="5"/>
      <c r="V73" s="1"/>
    </row>
    <row r="74" spans="1:22" x14ac:dyDescent="0.25">
      <c r="A74" s="29"/>
      <c r="B74" s="29"/>
      <c r="C74" s="29"/>
      <c r="D74" s="29"/>
      <c r="E74" s="29"/>
      <c r="F74" s="29"/>
      <c r="G74" s="29"/>
      <c r="H74" s="29"/>
      <c r="I74" s="29"/>
      <c r="J74" s="29"/>
      <c r="K74" s="29"/>
      <c r="L74" s="29"/>
      <c r="M74" s="29"/>
      <c r="N74" s="29"/>
      <c r="O74" s="29"/>
      <c r="P74" s="29"/>
      <c r="Q74" s="29"/>
      <c r="S74" s="5" t="s">
        <v>196</v>
      </c>
      <c r="T74" s="5" t="s">
        <v>208</v>
      </c>
      <c r="U74" s="5" t="s">
        <v>200</v>
      </c>
    </row>
    <row r="75" spans="1:22" x14ac:dyDescent="0.25">
      <c r="A75" s="29"/>
      <c r="B75" s="29"/>
      <c r="C75" s="29"/>
      <c r="D75" s="29"/>
      <c r="E75" s="29"/>
      <c r="F75" s="29"/>
      <c r="G75" s="29"/>
      <c r="H75" s="29"/>
      <c r="I75" s="29"/>
      <c r="J75" s="29"/>
      <c r="K75" s="29"/>
      <c r="L75" s="29"/>
      <c r="M75" s="29"/>
      <c r="N75" s="29"/>
      <c r="O75" s="29"/>
      <c r="P75" s="29"/>
      <c r="Q75" s="29"/>
      <c r="S75" s="5" t="s">
        <v>201</v>
      </c>
      <c r="T75" s="5">
        <v>5</v>
      </c>
      <c r="U75" s="5" t="s">
        <v>45</v>
      </c>
      <c r="V75" s="1"/>
    </row>
    <row r="76" spans="1:22" x14ac:dyDescent="0.25">
      <c r="A76" s="29"/>
      <c r="B76" s="29"/>
      <c r="C76" s="29"/>
      <c r="D76" s="29"/>
      <c r="E76" s="29"/>
      <c r="F76" s="29"/>
      <c r="G76" s="29"/>
      <c r="H76" s="29"/>
      <c r="I76" s="29"/>
      <c r="J76" s="29"/>
      <c r="K76" s="29"/>
      <c r="L76" s="29"/>
      <c r="M76" s="29"/>
      <c r="N76" s="29"/>
      <c r="O76" s="29"/>
      <c r="P76" s="29"/>
      <c r="Q76" s="29"/>
      <c r="S76" s="5" t="s">
        <v>202</v>
      </c>
      <c r="T76" s="5">
        <v>7</v>
      </c>
      <c r="U76" s="5" t="s">
        <v>100</v>
      </c>
    </row>
    <row r="77" spans="1:22" x14ac:dyDescent="0.25">
      <c r="A77" s="29"/>
      <c r="B77" s="29"/>
      <c r="C77" s="29"/>
      <c r="D77" s="29"/>
      <c r="E77" s="29"/>
      <c r="F77" s="29"/>
      <c r="G77" s="29"/>
      <c r="H77" s="29"/>
      <c r="I77" s="29"/>
      <c r="J77" s="29"/>
      <c r="K77" s="29"/>
      <c r="L77" s="29"/>
      <c r="M77" s="29"/>
      <c r="N77" s="29"/>
      <c r="O77" s="29"/>
      <c r="P77" s="29"/>
      <c r="Q77" s="29"/>
      <c r="S77" s="5" t="s">
        <v>203</v>
      </c>
      <c r="T77" s="5">
        <v>2500</v>
      </c>
      <c r="U77" s="5" t="s">
        <v>46</v>
      </c>
    </row>
    <row r="78" spans="1:22" x14ac:dyDescent="0.25">
      <c r="A78" s="29"/>
      <c r="B78" s="29"/>
      <c r="C78" s="29"/>
      <c r="D78" s="29"/>
      <c r="E78" s="29"/>
      <c r="F78" s="29"/>
      <c r="G78" s="29"/>
      <c r="H78" s="29"/>
      <c r="I78" s="29"/>
      <c r="J78" s="29"/>
      <c r="K78" s="29"/>
      <c r="L78" s="29"/>
      <c r="M78" s="29"/>
      <c r="N78" s="29"/>
      <c r="O78" s="29"/>
      <c r="P78" s="29"/>
      <c r="Q78" s="29"/>
      <c r="S78" s="5" t="s">
        <v>204</v>
      </c>
      <c r="T78" s="5">
        <f>-T76</f>
        <v>-7</v>
      </c>
      <c r="U78" s="5" t="s">
        <v>100</v>
      </c>
    </row>
    <row r="79" spans="1:22" x14ac:dyDescent="0.25">
      <c r="A79" s="29"/>
      <c r="B79" s="29"/>
      <c r="C79" s="29"/>
      <c r="D79" s="29"/>
      <c r="E79" s="29"/>
      <c r="F79" s="29"/>
      <c r="G79" s="29"/>
      <c r="H79" s="29"/>
      <c r="I79" s="29"/>
      <c r="J79" s="29"/>
      <c r="K79" s="29"/>
      <c r="L79" s="29"/>
      <c r="M79" s="29"/>
      <c r="N79" s="29"/>
      <c r="O79" s="29"/>
      <c r="P79" s="29"/>
      <c r="Q79" s="29"/>
      <c r="S79" s="3" t="s">
        <v>205</v>
      </c>
      <c r="T79" s="3">
        <f>T77</f>
        <v>2500</v>
      </c>
      <c r="U79" s="5" t="s">
        <v>46</v>
      </c>
    </row>
    <row r="80" spans="1:22" x14ac:dyDescent="0.25">
      <c r="A80" s="29"/>
      <c r="B80" s="29"/>
      <c r="C80" s="29"/>
      <c r="D80" s="29"/>
      <c r="E80" s="29"/>
      <c r="F80" s="29"/>
      <c r="G80" s="29"/>
      <c r="H80" s="29"/>
      <c r="I80" s="29"/>
      <c r="J80" s="29"/>
      <c r="K80" s="29"/>
      <c r="L80" s="29"/>
      <c r="M80" s="29"/>
      <c r="N80" s="29"/>
      <c r="O80" s="29"/>
      <c r="P80" s="29"/>
      <c r="Q80" s="29"/>
      <c r="S80" s="3" t="s">
        <v>206</v>
      </c>
      <c r="T80" s="3">
        <v>0.2</v>
      </c>
      <c r="U80" s="5" t="s">
        <v>45</v>
      </c>
    </row>
    <row r="81" spans="1:46" x14ac:dyDescent="0.25">
      <c r="A81" s="29"/>
      <c r="B81" s="29"/>
      <c r="C81" s="29"/>
      <c r="D81" s="29"/>
      <c r="E81" s="29"/>
      <c r="F81" s="29"/>
      <c r="G81" s="29"/>
      <c r="H81" s="29"/>
      <c r="I81" s="29"/>
      <c r="J81" s="29"/>
      <c r="K81" s="29"/>
      <c r="L81" s="29"/>
      <c r="M81" s="29"/>
      <c r="N81" s="29"/>
      <c r="O81" s="29"/>
      <c r="P81" s="29"/>
      <c r="Q81" s="29"/>
      <c r="S81" s="3" t="s">
        <v>207</v>
      </c>
      <c r="T81" s="3">
        <v>7500</v>
      </c>
      <c r="U81" s="5" t="s">
        <v>46</v>
      </c>
    </row>
    <row r="82" spans="1:46" x14ac:dyDescent="0.25">
      <c r="A82" s="29"/>
      <c r="B82" s="29"/>
      <c r="C82" s="29"/>
      <c r="D82" s="29"/>
      <c r="E82" s="29"/>
      <c r="F82" s="29"/>
      <c r="G82" s="29"/>
      <c r="H82" s="29"/>
      <c r="I82" s="29"/>
      <c r="J82" s="29"/>
      <c r="K82" s="29"/>
      <c r="L82" s="29"/>
      <c r="M82" s="29"/>
      <c r="N82" s="29"/>
      <c r="O82" s="29"/>
      <c r="P82" s="29"/>
      <c r="Q82" s="29"/>
      <c r="S82" s="29"/>
      <c r="T82" s="29"/>
      <c r="U82" s="93"/>
      <c r="V82" s="29"/>
      <c r="W82" s="29"/>
      <c r="X82" s="29"/>
      <c r="Y82" s="29"/>
      <c r="Z82" s="29"/>
      <c r="AA82" s="29"/>
      <c r="AB82" s="29"/>
      <c r="AC82" s="29"/>
      <c r="AE82" s="29"/>
      <c r="AF82" s="29"/>
    </row>
    <row r="83" spans="1:46" x14ac:dyDescent="0.25">
      <c r="A83" s="29"/>
      <c r="B83" s="29"/>
      <c r="C83" s="29"/>
      <c r="D83" s="29"/>
      <c r="E83" s="29"/>
      <c r="F83" s="29"/>
      <c r="G83" s="29"/>
      <c r="H83" s="29"/>
      <c r="I83" s="29"/>
      <c r="J83" s="29"/>
      <c r="K83" s="29"/>
      <c r="L83" s="29"/>
      <c r="M83" s="29"/>
      <c r="N83" s="29"/>
      <c r="O83" s="29"/>
      <c r="P83" s="29"/>
      <c r="Q83" s="29"/>
      <c r="S83" s="98" t="s">
        <v>336</v>
      </c>
      <c r="T83" s="98" t="s">
        <v>337</v>
      </c>
      <c r="U83" s="99" t="s">
        <v>375</v>
      </c>
      <c r="V83" s="29"/>
      <c r="W83" s="29"/>
      <c r="X83" s="29"/>
      <c r="Y83" s="29"/>
      <c r="Z83" s="29"/>
      <c r="AA83" s="29"/>
      <c r="AB83" s="29"/>
      <c r="AC83" s="29"/>
      <c r="AD83" s="29"/>
      <c r="AE83" s="29"/>
      <c r="AF83" s="29"/>
    </row>
    <row r="84" spans="1:46" x14ac:dyDescent="0.25">
      <c r="A84" s="29"/>
      <c r="B84" s="29"/>
      <c r="C84" s="29"/>
      <c r="D84" s="29"/>
      <c r="E84" s="29"/>
      <c r="F84" s="29"/>
      <c r="G84" s="29"/>
      <c r="H84" s="29"/>
      <c r="I84" s="29"/>
      <c r="J84" s="29"/>
      <c r="K84" s="29"/>
      <c r="L84" s="29"/>
      <c r="M84" s="29"/>
      <c r="N84" s="29"/>
      <c r="O84" s="29"/>
      <c r="P84" s="29"/>
      <c r="Q84" s="29"/>
      <c r="R84" s="29"/>
      <c r="S84" s="77"/>
      <c r="T84" s="77"/>
      <c r="U84" s="94"/>
      <c r="V84" s="29"/>
      <c r="W84" s="29"/>
      <c r="X84" s="29"/>
      <c r="Y84" s="29"/>
      <c r="Z84" s="29"/>
      <c r="AA84" s="29"/>
      <c r="AB84" s="29"/>
      <c r="AC84" s="29"/>
      <c r="AD84" s="29"/>
      <c r="AE84" s="29"/>
      <c r="AF84" s="29"/>
      <c r="AG84" s="29"/>
      <c r="AH84" s="29"/>
      <c r="AI84" s="29"/>
      <c r="AJ84" s="29"/>
      <c r="AK84" s="29"/>
      <c r="AL84" s="29"/>
      <c r="AM84" s="29"/>
      <c r="AN84" s="29"/>
    </row>
    <row r="85" spans="1:46" x14ac:dyDescent="0.25">
      <c r="A85" s="29"/>
      <c r="B85" s="29"/>
      <c r="C85" s="29"/>
      <c r="D85" s="29"/>
      <c r="E85" s="29"/>
      <c r="F85" s="29"/>
      <c r="G85" s="29"/>
      <c r="H85" s="29"/>
      <c r="I85" s="29"/>
      <c r="J85" s="29"/>
      <c r="K85" s="29"/>
      <c r="L85" s="29"/>
      <c r="M85" s="29"/>
      <c r="N85" s="29"/>
      <c r="O85" s="29"/>
      <c r="P85" s="29"/>
      <c r="Q85" s="29"/>
      <c r="R85" s="29"/>
      <c r="S85" s="77" t="s">
        <v>353</v>
      </c>
      <c r="T85" s="77">
        <v>0.2</v>
      </c>
      <c r="U85" s="94" t="s">
        <v>45</v>
      </c>
      <c r="V85" s="29"/>
      <c r="W85" s="29"/>
      <c r="X85" s="29"/>
      <c r="Y85" s="29"/>
      <c r="Z85" s="29"/>
      <c r="AA85" s="29"/>
      <c r="AB85" s="29"/>
      <c r="AC85" s="29"/>
      <c r="AD85" s="29"/>
      <c r="AE85" s="29"/>
      <c r="AF85" s="29"/>
      <c r="AG85" s="29"/>
      <c r="AH85" s="29"/>
      <c r="AI85" s="29"/>
      <c r="AJ85" s="29"/>
      <c r="AK85" s="29"/>
      <c r="AL85" s="29"/>
      <c r="AM85" s="29"/>
      <c r="AN85" s="29"/>
    </row>
    <row r="86" spans="1:46" x14ac:dyDescent="0.25">
      <c r="A86" s="29"/>
      <c r="B86" s="29"/>
      <c r="C86" s="29"/>
      <c r="D86" s="29"/>
      <c r="E86" s="29"/>
      <c r="F86" s="29"/>
      <c r="G86" s="29"/>
      <c r="H86" s="29"/>
      <c r="I86" s="29"/>
      <c r="J86" s="29"/>
      <c r="K86" s="29"/>
      <c r="L86" s="29"/>
      <c r="M86" s="29"/>
      <c r="N86" s="29"/>
      <c r="O86" s="29"/>
      <c r="P86" s="29"/>
      <c r="Q86" s="29"/>
      <c r="R86" s="29"/>
      <c r="S86" s="77" t="s">
        <v>351</v>
      </c>
      <c r="T86" s="77">
        <v>1</v>
      </c>
      <c r="U86" s="94" t="s">
        <v>45</v>
      </c>
      <c r="V86" s="29"/>
      <c r="W86" s="29"/>
      <c r="X86" s="29"/>
      <c r="Y86" s="29"/>
      <c r="Z86" s="29"/>
      <c r="AA86" s="29"/>
      <c r="AB86" s="29"/>
      <c r="AC86" s="29"/>
      <c r="AD86" s="29"/>
      <c r="AE86" s="29"/>
      <c r="AF86" s="29"/>
      <c r="AG86" s="29"/>
      <c r="AH86" s="29"/>
      <c r="AI86" s="29"/>
      <c r="AJ86" s="29"/>
      <c r="AK86" s="29"/>
      <c r="AL86" s="29"/>
      <c r="AM86" s="29"/>
      <c r="AN86" s="29"/>
    </row>
    <row r="87" spans="1:46" x14ac:dyDescent="0.25">
      <c r="A87" s="29"/>
      <c r="B87" s="29"/>
      <c r="C87" s="29"/>
      <c r="D87" s="29"/>
      <c r="E87" s="29"/>
      <c r="F87" s="29"/>
      <c r="G87" s="29"/>
      <c r="H87" s="29"/>
      <c r="I87" s="29"/>
      <c r="J87" s="29"/>
      <c r="K87" s="29"/>
      <c r="L87" s="29"/>
      <c r="M87" s="29"/>
      <c r="N87" s="29"/>
      <c r="O87" s="29"/>
      <c r="P87" s="29"/>
      <c r="Q87" s="29"/>
      <c r="R87" s="29"/>
      <c r="S87" s="77" t="s">
        <v>352</v>
      </c>
      <c r="T87" s="77">
        <v>0.5</v>
      </c>
      <c r="U87" s="94" t="s">
        <v>45</v>
      </c>
      <c r="V87" s="29"/>
      <c r="W87" s="29"/>
      <c r="X87" s="29"/>
      <c r="Y87" s="29"/>
      <c r="Z87" s="29"/>
      <c r="AA87" s="29"/>
      <c r="AB87" s="29"/>
      <c r="AC87" s="29"/>
      <c r="AD87" s="29"/>
      <c r="AE87" s="29"/>
      <c r="AF87" s="29"/>
      <c r="AG87" s="29"/>
      <c r="AH87" s="29"/>
      <c r="AI87" s="29"/>
      <c r="AJ87" s="29"/>
      <c r="AK87" s="29"/>
      <c r="AL87" s="29"/>
      <c r="AM87" s="29"/>
      <c r="AN87" s="29"/>
    </row>
    <row r="89" spans="1:46" x14ac:dyDescent="0.25">
      <c r="A89" s="59" t="s">
        <v>171</v>
      </c>
      <c r="B89" s="2" t="s">
        <v>368</v>
      </c>
      <c r="C89" s="59" t="s">
        <v>170</v>
      </c>
      <c r="D89" s="2" t="s">
        <v>378</v>
      </c>
      <c r="E89" s="29"/>
      <c r="F89" s="29"/>
      <c r="G89" s="29"/>
      <c r="H89" s="29"/>
      <c r="I89" s="29"/>
      <c r="J89" s="29"/>
      <c r="K89" s="29"/>
      <c r="L89" s="29"/>
      <c r="M89" s="29"/>
      <c r="N89" s="29"/>
      <c r="O89" s="29"/>
      <c r="P89" s="29"/>
      <c r="AO89" t="s">
        <v>172</v>
      </c>
      <c r="AP89" t="s">
        <v>369</v>
      </c>
      <c r="AQ89" t="s">
        <v>171</v>
      </c>
      <c r="AR89" t="s">
        <v>368</v>
      </c>
      <c r="AS89" t="s">
        <v>170</v>
      </c>
      <c r="AT89" t="s">
        <v>378</v>
      </c>
    </row>
    <row r="90" spans="1:46" x14ac:dyDescent="0.25">
      <c r="A90" s="40" t="s">
        <v>0</v>
      </c>
      <c r="B90" s="41"/>
      <c r="C90" s="18"/>
      <c r="D90" s="18"/>
      <c r="E90" s="18"/>
      <c r="F90" s="18"/>
      <c r="G90" s="18"/>
      <c r="H90" s="18"/>
      <c r="I90" s="18"/>
      <c r="J90" s="18"/>
      <c r="K90" s="18"/>
      <c r="L90" s="18"/>
      <c r="M90" s="18"/>
      <c r="N90" s="18"/>
      <c r="O90" s="18"/>
      <c r="P90" s="18"/>
      <c r="Q90" s="59" t="s">
        <v>333</v>
      </c>
    </row>
    <row r="91" spans="1:46" x14ac:dyDescent="0.25">
      <c r="A91" s="20">
        <v>1</v>
      </c>
      <c r="B91" s="42" t="s">
        <v>138</v>
      </c>
      <c r="C91" s="42" t="s">
        <v>376</v>
      </c>
      <c r="D91" s="42" t="s">
        <v>377</v>
      </c>
      <c r="E91" s="42" t="s">
        <v>141</v>
      </c>
      <c r="F91" s="42" t="s">
        <v>140</v>
      </c>
      <c r="G91" s="42">
        <v>250</v>
      </c>
      <c r="H91" s="42">
        <f>G91*40</f>
        <v>10000</v>
      </c>
      <c r="I91" s="42">
        <v>0.5</v>
      </c>
      <c r="J91" s="42">
        <v>0.2</v>
      </c>
      <c r="K91" s="42"/>
      <c r="L91" s="42"/>
      <c r="M91" s="42"/>
      <c r="N91" s="42"/>
      <c r="O91" s="42"/>
      <c r="P91" s="42"/>
      <c r="Q91" s="42" t="s">
        <v>367</v>
      </c>
      <c r="S91" s="97" t="s">
        <v>41</v>
      </c>
      <c r="T91" s="3"/>
      <c r="U91" s="5"/>
    </row>
    <row r="92" spans="1:46" x14ac:dyDescent="0.25">
      <c r="A92" s="20">
        <v>2</v>
      </c>
      <c r="B92" s="20"/>
      <c r="C92" s="20"/>
      <c r="D92" s="20"/>
      <c r="E92" s="20"/>
      <c r="F92" s="20"/>
      <c r="G92" s="20"/>
      <c r="H92" s="20"/>
      <c r="I92" s="20"/>
      <c r="J92" s="20"/>
      <c r="K92" s="20"/>
      <c r="L92" s="20"/>
      <c r="M92" s="20"/>
      <c r="N92" s="20"/>
      <c r="O92" s="20"/>
      <c r="P92" s="20"/>
      <c r="Q92" s="20"/>
      <c r="S92" s="5" t="s">
        <v>124</v>
      </c>
      <c r="T92" s="5">
        <v>0.2</v>
      </c>
      <c r="U92" s="5" t="s">
        <v>45</v>
      </c>
    </row>
    <row r="93" spans="1:46" x14ac:dyDescent="0.25">
      <c r="A93" s="20">
        <v>3</v>
      </c>
      <c r="B93" s="20"/>
      <c r="C93" s="20"/>
      <c r="D93" s="20"/>
      <c r="E93" s="20"/>
      <c r="F93" s="20"/>
      <c r="G93" s="20"/>
      <c r="H93" s="20"/>
      <c r="I93" s="20"/>
      <c r="J93" s="20"/>
      <c r="K93" s="20"/>
      <c r="L93" s="20"/>
      <c r="M93" s="20"/>
      <c r="N93" s="20"/>
      <c r="O93" s="20"/>
      <c r="P93" s="20"/>
      <c r="Q93" s="20"/>
      <c r="S93" s="5" t="s">
        <v>97</v>
      </c>
      <c r="T93" s="5">
        <v>1</v>
      </c>
      <c r="U93" s="5" t="s">
        <v>99</v>
      </c>
    </row>
    <row r="94" spans="1:46" x14ac:dyDescent="0.25">
      <c r="A94" s="20">
        <v>4</v>
      </c>
      <c r="B94" s="20"/>
      <c r="C94" s="20"/>
      <c r="D94" s="20"/>
      <c r="E94" s="20"/>
      <c r="F94" s="20"/>
      <c r="G94" s="20"/>
      <c r="H94" s="20"/>
      <c r="I94" s="20"/>
      <c r="J94" s="20"/>
      <c r="K94" s="20"/>
      <c r="L94" s="20"/>
      <c r="M94" s="20"/>
      <c r="N94" s="20"/>
      <c r="O94" s="20"/>
      <c r="P94" s="20"/>
      <c r="Q94" s="20"/>
      <c r="S94" s="5" t="s">
        <v>98</v>
      </c>
      <c r="T94" s="5">
        <v>1</v>
      </c>
      <c r="U94" s="5" t="s">
        <v>99</v>
      </c>
    </row>
    <row r="95" spans="1:46" x14ac:dyDescent="0.25">
      <c r="A95" s="20">
        <v>5</v>
      </c>
      <c r="B95" s="20"/>
      <c r="C95" s="20"/>
      <c r="D95" s="20"/>
      <c r="E95" s="20"/>
      <c r="F95" s="20"/>
      <c r="G95" s="20"/>
      <c r="H95" s="20"/>
      <c r="I95" s="20"/>
      <c r="J95" s="20"/>
      <c r="K95" s="20"/>
      <c r="L95" s="20"/>
      <c r="M95" s="20"/>
      <c r="N95" s="20"/>
      <c r="O95" s="20"/>
      <c r="P95" s="20"/>
      <c r="Q95" s="20"/>
      <c r="S95" s="5" t="s">
        <v>236</v>
      </c>
      <c r="T95" s="5" t="s">
        <v>247</v>
      </c>
      <c r="U95" s="5"/>
    </row>
    <row r="96" spans="1:46" x14ac:dyDescent="0.25">
      <c r="A96" s="20">
        <v>6</v>
      </c>
      <c r="B96" s="20"/>
      <c r="C96" s="20"/>
      <c r="D96" s="20"/>
      <c r="E96" s="20"/>
      <c r="F96" s="20"/>
      <c r="G96" s="20"/>
      <c r="H96" s="20"/>
      <c r="I96" s="20"/>
      <c r="J96" s="20"/>
      <c r="K96" s="20"/>
      <c r="L96" s="20"/>
      <c r="M96" s="20"/>
      <c r="N96" s="20"/>
      <c r="O96" s="20"/>
      <c r="P96" s="20"/>
      <c r="Q96" s="20"/>
      <c r="S96" s="5" t="s">
        <v>237</v>
      </c>
      <c r="T96" s="5">
        <v>0</v>
      </c>
      <c r="U96" s="5"/>
    </row>
    <row r="97" spans="1:22" x14ac:dyDescent="0.25">
      <c r="A97" s="20">
        <v>7</v>
      </c>
      <c r="B97" s="20"/>
      <c r="C97" s="20"/>
      <c r="D97" s="20"/>
      <c r="E97" s="20"/>
      <c r="F97" s="20"/>
      <c r="G97" s="20"/>
      <c r="H97" s="20"/>
      <c r="I97" s="20"/>
      <c r="J97" s="20"/>
      <c r="K97" s="20"/>
      <c r="L97" s="20"/>
      <c r="M97" s="20"/>
      <c r="N97" s="20"/>
      <c r="O97" s="20"/>
      <c r="P97" s="20"/>
      <c r="Q97" s="20"/>
      <c r="S97" s="58"/>
      <c r="T97" s="58"/>
      <c r="U97" s="92"/>
    </row>
    <row r="98" spans="1:22" x14ac:dyDescent="0.25">
      <c r="A98" s="20">
        <v>8</v>
      </c>
      <c r="B98" s="20"/>
      <c r="C98" s="20"/>
      <c r="D98" s="20"/>
      <c r="E98" s="20"/>
      <c r="F98" s="20"/>
      <c r="G98" s="20"/>
      <c r="H98" s="20"/>
      <c r="I98" s="20"/>
      <c r="J98" s="20"/>
      <c r="K98" s="20"/>
      <c r="L98" s="20"/>
      <c r="M98" s="20"/>
      <c r="N98" s="20"/>
      <c r="O98" s="20"/>
      <c r="P98" s="20"/>
      <c r="Q98" s="20"/>
      <c r="S98" s="5" t="s">
        <v>383</v>
      </c>
      <c r="T98" s="5">
        <v>60</v>
      </c>
      <c r="U98" s="5" t="s">
        <v>44</v>
      </c>
      <c r="V98" s="1"/>
    </row>
    <row r="99" spans="1:22" x14ac:dyDescent="0.25">
      <c r="A99" s="20">
        <v>9</v>
      </c>
      <c r="B99" s="20"/>
      <c r="C99" s="20"/>
      <c r="D99" s="20"/>
      <c r="E99" s="20"/>
      <c r="F99" s="46"/>
      <c r="G99" s="20"/>
      <c r="H99" s="20"/>
      <c r="I99" s="20"/>
      <c r="J99" s="20"/>
      <c r="K99" s="20"/>
      <c r="L99" s="20"/>
      <c r="M99" s="20"/>
      <c r="N99" s="20"/>
      <c r="O99" s="20"/>
      <c r="P99" s="20"/>
      <c r="Q99" s="20"/>
      <c r="S99" s="5" t="s">
        <v>95</v>
      </c>
      <c r="T99" s="5">
        <v>1000</v>
      </c>
      <c r="U99" s="5" t="s">
        <v>46</v>
      </c>
    </row>
    <row r="100" spans="1:22" x14ac:dyDescent="0.25">
      <c r="A100" s="20">
        <v>10</v>
      </c>
      <c r="B100" s="20"/>
      <c r="C100" s="20"/>
      <c r="D100" s="20"/>
      <c r="E100" s="20"/>
      <c r="F100" s="46"/>
      <c r="G100" s="20"/>
      <c r="H100" s="20"/>
      <c r="I100" s="20"/>
      <c r="J100" s="20"/>
      <c r="K100" s="20"/>
      <c r="L100" s="20"/>
      <c r="M100" s="20"/>
      <c r="N100" s="20"/>
      <c r="O100" s="20"/>
      <c r="P100" s="20"/>
      <c r="Q100" s="20"/>
      <c r="S100" s="5" t="s">
        <v>96</v>
      </c>
      <c r="T100" s="5">
        <v>9000</v>
      </c>
      <c r="U100" s="5" t="s">
        <v>46</v>
      </c>
    </row>
    <row r="101" spans="1:22" x14ac:dyDescent="0.25">
      <c r="A101" s="20">
        <v>11</v>
      </c>
      <c r="B101" s="20"/>
      <c r="C101" s="20"/>
      <c r="D101" s="20"/>
      <c r="E101" s="20"/>
      <c r="F101" s="46"/>
      <c r="G101" s="20"/>
      <c r="H101" s="20"/>
      <c r="I101" s="20"/>
      <c r="J101" s="20"/>
      <c r="K101" s="20"/>
      <c r="L101" s="20"/>
      <c r="M101" s="20"/>
      <c r="N101" s="20"/>
      <c r="O101" s="20"/>
      <c r="P101" s="20"/>
      <c r="Q101" s="20"/>
      <c r="S101" s="5" t="s">
        <v>42</v>
      </c>
      <c r="T101" s="5">
        <v>210</v>
      </c>
      <c r="U101" s="5" t="s">
        <v>44</v>
      </c>
      <c r="V101" s="1"/>
    </row>
    <row r="102" spans="1:22" x14ac:dyDescent="0.25">
      <c r="A102" s="29"/>
      <c r="B102" s="29"/>
      <c r="C102" s="29"/>
      <c r="D102" s="29"/>
      <c r="E102" s="29"/>
      <c r="F102" s="29"/>
      <c r="G102" s="29"/>
      <c r="H102" s="29"/>
      <c r="I102" s="29"/>
      <c r="J102" s="29"/>
      <c r="K102" s="29"/>
      <c r="L102" s="29"/>
      <c r="M102" s="29"/>
      <c r="N102" s="29"/>
      <c r="O102" s="29"/>
      <c r="P102" s="29"/>
      <c r="Q102" s="29"/>
      <c r="S102" s="5" t="s">
        <v>43</v>
      </c>
      <c r="T102" s="5">
        <v>2.85</v>
      </c>
      <c r="U102" s="5" t="s">
        <v>45</v>
      </c>
    </row>
    <row r="103" spans="1:22" x14ac:dyDescent="0.25">
      <c r="A103" s="29"/>
      <c r="B103" s="29"/>
      <c r="C103" s="29"/>
      <c r="D103" s="29"/>
      <c r="E103" s="29"/>
      <c r="F103" s="29"/>
      <c r="G103" s="29"/>
      <c r="H103" s="29"/>
      <c r="I103" s="29"/>
      <c r="J103" s="29"/>
      <c r="K103" s="29"/>
      <c r="L103" s="29"/>
      <c r="M103" s="29"/>
      <c r="N103" s="29"/>
      <c r="O103" s="29"/>
      <c r="P103" s="29"/>
      <c r="Q103" s="29"/>
      <c r="S103" s="5" t="s">
        <v>47</v>
      </c>
      <c r="T103" s="5" t="s">
        <v>91</v>
      </c>
      <c r="U103" s="5" t="s">
        <v>100</v>
      </c>
    </row>
    <row r="104" spans="1:22" x14ac:dyDescent="0.25">
      <c r="A104" s="29"/>
      <c r="B104" s="29"/>
      <c r="C104" s="29"/>
      <c r="D104" s="29"/>
      <c r="E104" s="29"/>
      <c r="F104" s="29"/>
      <c r="G104" s="29"/>
      <c r="H104" s="29"/>
      <c r="I104" s="29"/>
      <c r="J104" s="29"/>
      <c r="K104" s="29"/>
      <c r="L104" s="29"/>
      <c r="M104" s="29"/>
      <c r="N104" s="29"/>
      <c r="O104" s="29"/>
      <c r="P104" s="29"/>
      <c r="Q104" s="29"/>
      <c r="S104" s="5" t="s">
        <v>134</v>
      </c>
      <c r="T104" s="5" t="s">
        <v>195</v>
      </c>
      <c r="U104" s="5"/>
    </row>
    <row r="105" spans="1:22" x14ac:dyDescent="0.25">
      <c r="A105" s="29"/>
      <c r="B105" s="29"/>
      <c r="C105" s="29"/>
      <c r="D105" s="29"/>
      <c r="E105" s="29"/>
      <c r="F105" s="29"/>
      <c r="G105" s="29"/>
      <c r="H105" s="29"/>
      <c r="I105" s="29"/>
      <c r="J105" s="29"/>
      <c r="K105" s="29"/>
      <c r="L105" s="29"/>
      <c r="M105" s="29"/>
      <c r="N105" s="29"/>
      <c r="O105" s="29"/>
      <c r="P105" s="29"/>
      <c r="Q105" s="29"/>
      <c r="S105" s="5" t="s">
        <v>194</v>
      </c>
      <c r="T105" s="5" t="s">
        <v>165</v>
      </c>
      <c r="U105" s="5"/>
    </row>
    <row r="106" spans="1:22" x14ac:dyDescent="0.25">
      <c r="A106" s="29"/>
      <c r="B106" s="29"/>
      <c r="C106" s="29"/>
      <c r="D106" s="29"/>
      <c r="E106" s="29"/>
      <c r="F106" s="29"/>
      <c r="G106" s="29"/>
      <c r="H106" s="29"/>
      <c r="I106" s="29"/>
      <c r="J106" s="29"/>
      <c r="K106" s="29"/>
      <c r="L106" s="29"/>
      <c r="M106" s="29"/>
      <c r="N106" s="29"/>
      <c r="O106" s="29"/>
      <c r="P106" s="29"/>
      <c r="Q106" s="29"/>
      <c r="S106" s="5" t="s">
        <v>209</v>
      </c>
      <c r="T106" s="5">
        <v>20</v>
      </c>
      <c r="U106" s="5" t="s">
        <v>45</v>
      </c>
    </row>
    <row r="107" spans="1:22" x14ac:dyDescent="0.25">
      <c r="A107" s="29"/>
      <c r="B107" s="29"/>
      <c r="C107" s="29"/>
      <c r="D107" s="29"/>
      <c r="E107" s="29"/>
      <c r="F107" s="29"/>
      <c r="G107" s="29"/>
      <c r="H107" s="29"/>
      <c r="I107" s="29"/>
      <c r="J107" s="29"/>
      <c r="K107" s="29"/>
      <c r="L107" s="29"/>
      <c r="M107" s="29"/>
      <c r="N107" s="29"/>
      <c r="O107" s="29"/>
      <c r="P107" s="29"/>
      <c r="Q107" s="29"/>
      <c r="S107" s="5" t="s">
        <v>210</v>
      </c>
      <c r="T107" s="5">
        <v>10</v>
      </c>
      <c r="U107" s="5" t="s">
        <v>45</v>
      </c>
    </row>
    <row r="108" spans="1:22" x14ac:dyDescent="0.25">
      <c r="A108" s="29"/>
      <c r="B108" s="29"/>
      <c r="C108" s="29"/>
      <c r="D108" s="29"/>
      <c r="E108" s="29"/>
      <c r="F108" s="29"/>
      <c r="G108" s="29"/>
      <c r="H108" s="29"/>
      <c r="I108" s="29"/>
      <c r="J108" s="29"/>
      <c r="K108" s="29"/>
      <c r="L108" s="29"/>
      <c r="M108" s="29"/>
      <c r="N108" s="29"/>
      <c r="O108" s="29"/>
      <c r="P108" s="29"/>
      <c r="Q108" s="29"/>
      <c r="S108" s="5" t="s">
        <v>211</v>
      </c>
      <c r="T108" s="5">
        <v>0.3</v>
      </c>
      <c r="U108" s="5" t="s">
        <v>45</v>
      </c>
    </row>
    <row r="109" spans="1:22" x14ac:dyDescent="0.25">
      <c r="A109" s="29"/>
      <c r="B109" s="29"/>
      <c r="C109" s="29"/>
      <c r="D109" s="29"/>
      <c r="E109" s="29"/>
      <c r="F109" s="29"/>
      <c r="G109" s="29"/>
      <c r="H109" s="29"/>
      <c r="I109" s="29"/>
      <c r="J109" s="29"/>
      <c r="K109" s="29"/>
      <c r="L109" s="29"/>
      <c r="M109" s="29"/>
      <c r="N109" s="29"/>
      <c r="O109" s="29"/>
      <c r="P109" s="29"/>
      <c r="Q109" s="29"/>
      <c r="S109" s="80" t="s">
        <v>384</v>
      </c>
      <c r="T109" s="5">
        <v>0</v>
      </c>
      <c r="U109" s="5"/>
      <c r="V109" s="1"/>
    </row>
    <row r="110" spans="1:22" x14ac:dyDescent="0.25">
      <c r="A110" s="29"/>
      <c r="B110" s="29"/>
      <c r="C110" s="29"/>
      <c r="D110" s="29"/>
      <c r="E110" s="29"/>
      <c r="F110" s="29"/>
      <c r="G110" s="29"/>
      <c r="H110" s="29"/>
      <c r="I110" s="29"/>
      <c r="J110" s="29"/>
      <c r="K110" s="29"/>
      <c r="L110" s="29"/>
      <c r="M110" s="29"/>
      <c r="N110" s="29"/>
      <c r="O110" s="29"/>
      <c r="P110" s="29"/>
      <c r="Q110" s="29"/>
      <c r="S110" s="5" t="s">
        <v>196</v>
      </c>
      <c r="T110" s="5" t="s">
        <v>208</v>
      </c>
      <c r="U110" s="5" t="s">
        <v>200</v>
      </c>
    </row>
    <row r="111" spans="1:22" x14ac:dyDescent="0.25">
      <c r="A111" s="29"/>
      <c r="B111" s="29"/>
      <c r="C111" s="29"/>
      <c r="D111" s="29"/>
      <c r="E111" s="29"/>
      <c r="F111" s="29"/>
      <c r="G111" s="29"/>
      <c r="H111" s="29"/>
      <c r="I111" s="29"/>
      <c r="J111" s="29"/>
      <c r="K111" s="29"/>
      <c r="L111" s="29"/>
      <c r="M111" s="29"/>
      <c r="N111" s="29"/>
      <c r="O111" s="29"/>
      <c r="P111" s="29"/>
      <c r="Q111" s="29"/>
      <c r="S111" s="5" t="s">
        <v>201</v>
      </c>
      <c r="T111" s="5">
        <v>5</v>
      </c>
      <c r="U111" s="5" t="s">
        <v>45</v>
      </c>
      <c r="V111" s="1"/>
    </row>
    <row r="112" spans="1:22" x14ac:dyDescent="0.25">
      <c r="A112" s="29"/>
      <c r="B112" s="29"/>
      <c r="C112" s="29"/>
      <c r="D112" s="29"/>
      <c r="E112" s="29"/>
      <c r="F112" s="29"/>
      <c r="G112" s="29"/>
      <c r="H112" s="29"/>
      <c r="I112" s="29"/>
      <c r="J112" s="29"/>
      <c r="K112" s="29"/>
      <c r="L112" s="29"/>
      <c r="M112" s="29"/>
      <c r="N112" s="29"/>
      <c r="O112" s="29"/>
      <c r="P112" s="29"/>
      <c r="Q112" s="29"/>
      <c r="S112" s="5" t="s">
        <v>202</v>
      </c>
      <c r="T112" s="5">
        <v>7</v>
      </c>
      <c r="U112" s="5" t="s">
        <v>100</v>
      </c>
    </row>
    <row r="113" spans="1:46" x14ac:dyDescent="0.25">
      <c r="A113" s="29"/>
      <c r="B113" s="29"/>
      <c r="C113" s="29"/>
      <c r="D113" s="29"/>
      <c r="E113" s="29"/>
      <c r="F113" s="29"/>
      <c r="G113" s="29"/>
      <c r="H113" s="29"/>
      <c r="I113" s="29"/>
      <c r="J113" s="29"/>
      <c r="K113" s="29"/>
      <c r="L113" s="29"/>
      <c r="M113" s="29"/>
      <c r="N113" s="29"/>
      <c r="O113" s="29"/>
      <c r="P113" s="29"/>
      <c r="Q113" s="29"/>
      <c r="S113" s="5" t="s">
        <v>203</v>
      </c>
      <c r="T113" s="5">
        <v>2500</v>
      </c>
      <c r="U113" s="5" t="s">
        <v>46</v>
      </c>
    </row>
    <row r="114" spans="1:46" x14ac:dyDescent="0.25">
      <c r="A114" s="29"/>
      <c r="B114" s="29"/>
      <c r="C114" s="29"/>
      <c r="D114" s="29"/>
      <c r="E114" s="29"/>
      <c r="F114" s="29"/>
      <c r="G114" s="29"/>
      <c r="H114" s="29"/>
      <c r="I114" s="29"/>
      <c r="J114" s="29"/>
      <c r="K114" s="29"/>
      <c r="L114" s="29"/>
      <c r="M114" s="29"/>
      <c r="N114" s="29"/>
      <c r="O114" s="29"/>
      <c r="P114" s="29"/>
      <c r="Q114" s="29"/>
      <c r="S114" s="5" t="s">
        <v>204</v>
      </c>
      <c r="T114" s="5">
        <f>-T112</f>
        <v>-7</v>
      </c>
      <c r="U114" s="5" t="s">
        <v>100</v>
      </c>
    </row>
    <row r="115" spans="1:46" x14ac:dyDescent="0.25">
      <c r="A115" s="29"/>
      <c r="B115" s="29"/>
      <c r="C115" s="29"/>
      <c r="D115" s="29"/>
      <c r="E115" s="29"/>
      <c r="F115" s="29"/>
      <c r="G115" s="29"/>
      <c r="H115" s="29"/>
      <c r="I115" s="29"/>
      <c r="J115" s="29"/>
      <c r="K115" s="29"/>
      <c r="L115" s="29"/>
      <c r="M115" s="29"/>
      <c r="N115" s="29"/>
      <c r="O115" s="29"/>
      <c r="P115" s="29"/>
      <c r="Q115" s="29"/>
      <c r="S115" s="3" t="s">
        <v>205</v>
      </c>
      <c r="T115" s="3">
        <f>T113</f>
        <v>2500</v>
      </c>
      <c r="U115" s="5" t="s">
        <v>46</v>
      </c>
    </row>
    <row r="116" spans="1:46" x14ac:dyDescent="0.25">
      <c r="A116" s="29"/>
      <c r="B116" s="29"/>
      <c r="C116" s="29"/>
      <c r="D116" s="29"/>
      <c r="E116" s="29"/>
      <c r="F116" s="29"/>
      <c r="G116" s="29"/>
      <c r="H116" s="29"/>
      <c r="I116" s="29"/>
      <c r="J116" s="29"/>
      <c r="K116" s="29"/>
      <c r="L116" s="29"/>
      <c r="M116" s="29"/>
      <c r="N116" s="29"/>
      <c r="O116" s="29"/>
      <c r="P116" s="29"/>
      <c r="Q116" s="29"/>
      <c r="S116" s="3" t="s">
        <v>206</v>
      </c>
      <c r="T116" s="3">
        <v>0.2</v>
      </c>
      <c r="U116" s="5" t="s">
        <v>45</v>
      </c>
    </row>
    <row r="117" spans="1:46" x14ac:dyDescent="0.25">
      <c r="A117" s="29"/>
      <c r="B117" s="29"/>
      <c r="C117" s="29"/>
      <c r="D117" s="29"/>
      <c r="E117" s="29"/>
      <c r="F117" s="29"/>
      <c r="G117" s="29"/>
      <c r="H117" s="29"/>
      <c r="I117" s="29"/>
      <c r="J117" s="29"/>
      <c r="K117" s="29"/>
      <c r="L117" s="29"/>
      <c r="M117" s="29"/>
      <c r="N117" s="29"/>
      <c r="O117" s="29"/>
      <c r="P117" s="29"/>
      <c r="Q117" s="29"/>
      <c r="S117" s="3" t="s">
        <v>207</v>
      </c>
      <c r="T117" s="3">
        <v>7500</v>
      </c>
      <c r="U117" s="5" t="s">
        <v>46</v>
      </c>
    </row>
    <row r="118" spans="1:46" x14ac:dyDescent="0.25">
      <c r="A118" s="29"/>
      <c r="B118" s="29"/>
      <c r="C118" s="29"/>
      <c r="D118" s="29"/>
      <c r="E118" s="29"/>
      <c r="F118" s="29"/>
      <c r="G118" s="29"/>
      <c r="H118" s="29"/>
      <c r="I118" s="29"/>
      <c r="J118" s="29"/>
      <c r="K118" s="29"/>
      <c r="L118" s="29"/>
      <c r="M118" s="29"/>
      <c r="N118" s="29"/>
      <c r="O118" s="29"/>
      <c r="P118" s="29"/>
      <c r="Q118" s="29"/>
      <c r="S118" s="29"/>
      <c r="T118" s="29"/>
      <c r="U118" s="93"/>
      <c r="V118" s="29"/>
      <c r="W118" s="29"/>
      <c r="X118" s="29"/>
      <c r="Y118" s="29"/>
      <c r="Z118" s="29"/>
      <c r="AA118" s="29"/>
      <c r="AB118" s="29"/>
      <c r="AC118" s="29"/>
      <c r="AE118" s="29"/>
      <c r="AF118" s="29"/>
    </row>
    <row r="119" spans="1:46" x14ac:dyDescent="0.25">
      <c r="A119" s="29"/>
      <c r="B119" s="29"/>
      <c r="C119" s="29"/>
      <c r="D119" s="29"/>
      <c r="E119" s="29"/>
      <c r="F119" s="29"/>
      <c r="G119" s="29"/>
      <c r="H119" s="29"/>
      <c r="I119" s="29"/>
      <c r="J119" s="29"/>
      <c r="K119" s="29"/>
      <c r="L119" s="29"/>
      <c r="M119" s="29"/>
      <c r="N119" s="29"/>
      <c r="O119" s="29"/>
      <c r="P119" s="29"/>
      <c r="Q119" s="29"/>
      <c r="S119" s="98" t="s">
        <v>336</v>
      </c>
      <c r="T119" s="98" t="s">
        <v>337</v>
      </c>
      <c r="U119" s="99" t="s">
        <v>375</v>
      </c>
      <c r="V119" s="29"/>
      <c r="W119" s="29"/>
      <c r="X119" s="29"/>
      <c r="Y119" s="29"/>
      <c r="Z119" s="29"/>
      <c r="AA119" s="29"/>
      <c r="AB119" s="29"/>
      <c r="AC119" s="29"/>
      <c r="AD119" s="29"/>
      <c r="AE119" s="29"/>
      <c r="AF119" s="29"/>
    </row>
    <row r="120" spans="1:46" x14ac:dyDescent="0.25">
      <c r="A120" s="29"/>
      <c r="B120" s="29"/>
      <c r="C120" s="29"/>
      <c r="D120" s="29"/>
      <c r="E120" s="29"/>
      <c r="F120" s="29"/>
      <c r="G120" s="29"/>
      <c r="H120" s="29"/>
      <c r="I120" s="29"/>
      <c r="J120" s="29"/>
      <c r="K120" s="29"/>
      <c r="L120" s="29"/>
      <c r="M120" s="29"/>
      <c r="N120" s="29"/>
      <c r="O120" s="29"/>
      <c r="P120" s="29"/>
      <c r="Q120" s="29"/>
      <c r="S120" s="77"/>
      <c r="T120" s="77"/>
      <c r="U120" s="94"/>
      <c r="V120" s="29"/>
      <c r="W120" s="29"/>
      <c r="X120" s="29"/>
      <c r="Y120" s="29"/>
      <c r="Z120" s="29"/>
      <c r="AA120" s="29"/>
      <c r="AB120" s="29"/>
      <c r="AC120" s="29"/>
      <c r="AD120" s="29"/>
      <c r="AE120" s="29"/>
      <c r="AF120" s="29"/>
    </row>
    <row r="121" spans="1:46" x14ac:dyDescent="0.25">
      <c r="A121" s="29"/>
      <c r="B121" s="29"/>
      <c r="C121" s="29"/>
      <c r="D121" s="29"/>
      <c r="E121" s="29"/>
      <c r="F121" s="29"/>
      <c r="G121" s="29"/>
      <c r="H121" s="29"/>
      <c r="I121" s="29"/>
      <c r="J121" s="29"/>
      <c r="K121" s="29"/>
      <c r="L121" s="29"/>
      <c r="M121" s="29"/>
      <c r="N121" s="29"/>
      <c r="O121" s="29"/>
      <c r="P121" s="29"/>
      <c r="Q121" s="29"/>
      <c r="S121" s="77" t="s">
        <v>14</v>
      </c>
      <c r="T121" s="77">
        <v>12</v>
      </c>
      <c r="U121" s="94" t="s">
        <v>45</v>
      </c>
      <c r="V121" s="29"/>
      <c r="W121" s="29"/>
      <c r="X121" s="29"/>
      <c r="Y121" s="29"/>
      <c r="Z121" s="29"/>
      <c r="AA121" s="29"/>
      <c r="AB121" s="29"/>
      <c r="AC121" s="29"/>
      <c r="AD121" s="29"/>
      <c r="AE121" s="29"/>
      <c r="AF121" s="29"/>
    </row>
    <row r="122" spans="1:46" x14ac:dyDescent="0.25">
      <c r="A122" s="29"/>
      <c r="B122" s="29"/>
      <c r="C122" s="29"/>
      <c r="D122" s="29"/>
      <c r="E122" s="29"/>
      <c r="F122" s="29"/>
      <c r="G122" s="29"/>
      <c r="H122" s="29"/>
      <c r="I122" s="29"/>
      <c r="J122" s="29"/>
      <c r="K122" s="29"/>
      <c r="L122" s="29"/>
      <c r="M122" s="29"/>
      <c r="N122" s="29"/>
      <c r="O122" s="29"/>
      <c r="P122" s="29"/>
      <c r="Q122" s="29"/>
      <c r="S122" s="77" t="s">
        <v>374</v>
      </c>
      <c r="T122" s="77">
        <v>2</v>
      </c>
      <c r="U122" s="94" t="s">
        <v>45</v>
      </c>
      <c r="V122" s="29"/>
      <c r="W122" s="29"/>
      <c r="X122" s="29"/>
      <c r="Y122" s="29"/>
      <c r="Z122" s="29"/>
      <c r="AA122" s="29"/>
      <c r="AB122" s="29"/>
      <c r="AC122" s="29"/>
      <c r="AD122" s="29"/>
      <c r="AE122" s="29"/>
      <c r="AF122" s="29"/>
    </row>
    <row r="123" spans="1:46" x14ac:dyDescent="0.25">
      <c r="A123" s="29"/>
      <c r="B123" s="29"/>
      <c r="C123" s="29"/>
      <c r="D123" s="29"/>
      <c r="E123" s="29"/>
      <c r="F123" s="29"/>
      <c r="G123" s="29"/>
      <c r="H123" s="29"/>
      <c r="I123" s="29"/>
      <c r="J123" s="29"/>
      <c r="K123" s="29"/>
      <c r="L123" s="29"/>
      <c r="M123" s="29"/>
      <c r="N123" s="29"/>
      <c r="O123" s="29"/>
      <c r="P123" s="29"/>
      <c r="Q123" s="29"/>
      <c r="R123" s="29"/>
      <c r="S123" s="77"/>
      <c r="T123" s="77"/>
      <c r="U123" s="94"/>
      <c r="V123" s="29"/>
      <c r="W123" s="29"/>
      <c r="X123" s="29"/>
      <c r="Y123" s="29"/>
      <c r="Z123" s="29"/>
      <c r="AA123" s="29"/>
      <c r="AB123" s="29"/>
      <c r="AC123" s="29"/>
      <c r="AD123" s="29"/>
      <c r="AE123" s="29"/>
      <c r="AF123" s="29"/>
      <c r="AG123" s="29"/>
      <c r="AH123" s="29"/>
      <c r="AI123" s="29"/>
      <c r="AJ123" s="29"/>
      <c r="AK123" s="29"/>
      <c r="AL123" s="29"/>
      <c r="AM123" s="29"/>
      <c r="AN123" s="29"/>
    </row>
    <row r="124" spans="1:46" x14ac:dyDescent="0.25">
      <c r="A124" s="29"/>
      <c r="B124" s="29"/>
      <c r="C124" s="29"/>
      <c r="D124" s="29"/>
      <c r="E124" s="29"/>
      <c r="F124" s="29"/>
      <c r="G124" s="29"/>
      <c r="H124" s="29"/>
      <c r="I124" s="29"/>
      <c r="J124" s="29"/>
      <c r="K124" s="29"/>
      <c r="L124" s="29"/>
      <c r="M124" s="29"/>
      <c r="N124" s="29"/>
      <c r="O124" s="29"/>
      <c r="P124" s="29"/>
      <c r="Q124" s="29"/>
      <c r="R124" s="29"/>
      <c r="S124" s="29"/>
      <c r="T124" s="29"/>
      <c r="U124" s="93"/>
      <c r="V124" s="29"/>
      <c r="W124" s="29"/>
      <c r="X124" s="29"/>
      <c r="Y124" s="29"/>
      <c r="Z124" s="29"/>
      <c r="AA124" s="29"/>
      <c r="AB124" s="29"/>
      <c r="AC124" s="29"/>
      <c r="AD124" s="29"/>
      <c r="AE124" s="29"/>
      <c r="AF124" s="29"/>
      <c r="AG124" s="29"/>
      <c r="AH124" s="29"/>
      <c r="AI124" s="29"/>
      <c r="AJ124" s="29"/>
      <c r="AK124" s="29"/>
      <c r="AL124" s="29"/>
      <c r="AM124" s="29"/>
      <c r="AN124" s="29"/>
    </row>
    <row r="125" spans="1:46" x14ac:dyDescent="0.25">
      <c r="A125" s="59" t="s">
        <v>171</v>
      </c>
      <c r="B125" s="2" t="s">
        <v>343</v>
      </c>
      <c r="C125" s="59" t="s">
        <v>170</v>
      </c>
      <c r="D125" s="2" t="s">
        <v>378</v>
      </c>
      <c r="E125" s="29"/>
      <c r="F125" s="29"/>
      <c r="G125" s="29"/>
      <c r="H125" s="29"/>
      <c r="I125" s="29"/>
      <c r="J125" s="29"/>
      <c r="K125" s="29"/>
      <c r="L125" s="29"/>
      <c r="M125" s="29"/>
      <c r="N125" s="29"/>
      <c r="O125" s="29"/>
      <c r="P125" s="29"/>
      <c r="AO125" t="s">
        <v>172</v>
      </c>
      <c r="AP125" t="s">
        <v>344</v>
      </c>
      <c r="AQ125" t="s">
        <v>171</v>
      </c>
      <c r="AR125" t="s">
        <v>343</v>
      </c>
      <c r="AS125" t="s">
        <v>170</v>
      </c>
      <c r="AT125" t="s">
        <v>378</v>
      </c>
    </row>
    <row r="126" spans="1:46" x14ac:dyDescent="0.25">
      <c r="A126" s="40" t="s">
        <v>0</v>
      </c>
      <c r="B126" s="41"/>
      <c r="C126" s="18"/>
      <c r="D126" s="18"/>
      <c r="E126" s="18"/>
      <c r="F126" s="18"/>
      <c r="G126" s="18"/>
      <c r="H126" s="18"/>
      <c r="I126" s="18"/>
      <c r="J126" s="18"/>
      <c r="K126" s="18"/>
      <c r="L126" s="18"/>
      <c r="M126" s="18"/>
      <c r="N126" s="18"/>
      <c r="O126" s="18"/>
      <c r="P126" s="18"/>
      <c r="Q126" s="59" t="s">
        <v>333</v>
      </c>
    </row>
    <row r="127" spans="1:46" x14ac:dyDescent="0.25">
      <c r="A127" s="20">
        <v>1</v>
      </c>
      <c r="B127" s="43" t="s">
        <v>73</v>
      </c>
      <c r="C127" s="43">
        <v>50</v>
      </c>
      <c r="D127" s="43">
        <v>50</v>
      </c>
      <c r="E127" s="43">
        <v>0</v>
      </c>
      <c r="F127" s="43">
        <v>10</v>
      </c>
      <c r="G127" s="43">
        <v>180</v>
      </c>
      <c r="H127" s="43" t="s">
        <v>21</v>
      </c>
      <c r="I127" s="43" t="e">
        <f>Sides</f>
        <v>#NAME?</v>
      </c>
      <c r="J127" s="43">
        <v>0.6</v>
      </c>
      <c r="K127" s="43">
        <v>0.2</v>
      </c>
      <c r="L127" s="43"/>
      <c r="M127" s="43"/>
      <c r="N127" s="43"/>
      <c r="O127" s="43"/>
      <c r="P127" s="43"/>
      <c r="Q127" s="43" t="s">
        <v>340</v>
      </c>
      <c r="S127" s="97" t="s">
        <v>41</v>
      </c>
      <c r="T127" s="3"/>
      <c r="U127" s="5"/>
    </row>
    <row r="128" spans="1:46" x14ac:dyDescent="0.25">
      <c r="A128" s="20">
        <v>2</v>
      </c>
      <c r="B128" s="27" t="s">
        <v>57</v>
      </c>
      <c r="C128" s="27">
        <v>1</v>
      </c>
      <c r="D128" s="27">
        <v>0</v>
      </c>
      <c r="E128" s="27">
        <v>0</v>
      </c>
      <c r="F128" s="27">
        <v>0.2</v>
      </c>
      <c r="G128" s="27" t="e">
        <f>Layers</f>
        <v>#NAME?</v>
      </c>
      <c r="H128" s="27"/>
      <c r="I128" s="27"/>
      <c r="J128" s="27"/>
      <c r="K128" s="27"/>
      <c r="L128" s="27"/>
      <c r="M128" s="27"/>
      <c r="N128" s="27"/>
      <c r="O128" s="27"/>
      <c r="P128" s="27"/>
      <c r="Q128" s="27" t="s">
        <v>341</v>
      </c>
      <c r="S128" s="5" t="s">
        <v>124</v>
      </c>
      <c r="T128" s="5">
        <v>0.2</v>
      </c>
      <c r="U128" s="5" t="s">
        <v>45</v>
      </c>
    </row>
    <row r="129" spans="1:22" x14ac:dyDescent="0.25">
      <c r="A129" s="20">
        <v>3</v>
      </c>
      <c r="B129" s="121" t="s">
        <v>335</v>
      </c>
      <c r="C129" s="42">
        <v>2</v>
      </c>
      <c r="D129" s="42">
        <v>1</v>
      </c>
      <c r="E129" s="42">
        <v>1</v>
      </c>
      <c r="F129" s="42" t="e">
        <f>Layers</f>
        <v>#NAME?</v>
      </c>
      <c r="G129" s="42" t="s">
        <v>180</v>
      </c>
      <c r="H129" s="42">
        <v>0</v>
      </c>
      <c r="I129" s="47" t="s">
        <v>140</v>
      </c>
      <c r="J129" s="47" t="s">
        <v>182</v>
      </c>
      <c r="K129" s="42" t="s">
        <v>145</v>
      </c>
      <c r="L129" s="42" t="s">
        <v>145</v>
      </c>
      <c r="M129" s="42"/>
      <c r="N129" s="42"/>
      <c r="O129" s="42"/>
      <c r="P129" s="42"/>
      <c r="Q129" s="4" t="s">
        <v>345</v>
      </c>
      <c r="S129" s="5" t="s">
        <v>97</v>
      </c>
      <c r="T129" s="5">
        <v>1</v>
      </c>
      <c r="U129" s="5" t="s">
        <v>99</v>
      </c>
    </row>
    <row r="130" spans="1:22" x14ac:dyDescent="0.25">
      <c r="A130" s="20">
        <v>4</v>
      </c>
      <c r="B130" s="42" t="s">
        <v>289</v>
      </c>
      <c r="C130" s="42" t="s">
        <v>23</v>
      </c>
      <c r="D130" s="42" t="s">
        <v>213</v>
      </c>
      <c r="E130" s="42">
        <f>C127</f>
        <v>50</v>
      </c>
      <c r="F130" s="42">
        <f>D127</f>
        <v>50</v>
      </c>
      <c r="G130" s="42">
        <v>0</v>
      </c>
      <c r="H130" s="42">
        <v>0</v>
      </c>
      <c r="I130" s="42" t="s">
        <v>304</v>
      </c>
      <c r="J130" s="42" t="s">
        <v>145</v>
      </c>
      <c r="K130" s="42" t="s">
        <v>145</v>
      </c>
      <c r="L130" s="42"/>
      <c r="M130" s="42"/>
      <c r="N130" s="42"/>
      <c r="O130" s="42"/>
      <c r="P130" s="42"/>
      <c r="Q130" s="4" t="s">
        <v>345</v>
      </c>
      <c r="S130" s="5" t="s">
        <v>98</v>
      </c>
      <c r="T130" s="5">
        <v>1</v>
      </c>
      <c r="U130" s="5" t="s">
        <v>99</v>
      </c>
    </row>
    <row r="131" spans="1:22" x14ac:dyDescent="0.25">
      <c r="A131" s="20">
        <v>5</v>
      </c>
      <c r="B131" s="20"/>
      <c r="C131" s="20"/>
      <c r="D131" s="20"/>
      <c r="E131" s="20"/>
      <c r="F131" s="20"/>
      <c r="G131" s="20"/>
      <c r="H131" s="20"/>
      <c r="I131" s="20"/>
      <c r="J131" s="20"/>
      <c r="K131" s="20"/>
      <c r="L131" s="20"/>
      <c r="M131" s="20"/>
      <c r="N131" s="20"/>
      <c r="O131" s="20"/>
      <c r="P131" s="20"/>
      <c r="Q131" s="20"/>
      <c r="S131" s="5" t="s">
        <v>236</v>
      </c>
      <c r="T131" s="5" t="s">
        <v>247</v>
      </c>
      <c r="U131" s="5"/>
    </row>
    <row r="132" spans="1:22" x14ac:dyDescent="0.25">
      <c r="A132" s="20">
        <v>6</v>
      </c>
      <c r="B132" s="20"/>
      <c r="C132" s="21" t="s">
        <v>379</v>
      </c>
      <c r="D132" s="21"/>
      <c r="E132" s="21"/>
      <c r="F132" s="21"/>
      <c r="G132" s="21"/>
      <c r="H132" s="21"/>
      <c r="I132" s="21"/>
      <c r="J132" s="20"/>
      <c r="K132" s="20"/>
      <c r="L132" s="20"/>
      <c r="M132" s="20"/>
      <c r="N132" s="20"/>
      <c r="O132" s="20"/>
      <c r="P132" s="20"/>
      <c r="Q132" s="20"/>
      <c r="S132" s="5" t="s">
        <v>237</v>
      </c>
      <c r="T132" s="5">
        <v>0</v>
      </c>
      <c r="U132" s="5"/>
    </row>
    <row r="133" spans="1:22" x14ac:dyDescent="0.25">
      <c r="A133" s="20">
        <v>7</v>
      </c>
      <c r="B133" s="20"/>
      <c r="C133" s="20"/>
      <c r="D133" s="20"/>
      <c r="E133" s="20"/>
      <c r="F133" s="20"/>
      <c r="G133" s="20"/>
      <c r="H133" s="20"/>
      <c r="I133" s="20"/>
      <c r="J133" s="20"/>
      <c r="K133" s="20"/>
      <c r="L133" s="20"/>
      <c r="M133" s="20"/>
      <c r="N133" s="20"/>
      <c r="O133" s="20"/>
      <c r="P133" s="20"/>
      <c r="Q133" s="20"/>
      <c r="S133" s="58"/>
      <c r="T133" s="58"/>
      <c r="U133" s="92"/>
    </row>
    <row r="134" spans="1:22" x14ac:dyDescent="0.25">
      <c r="A134" s="20">
        <v>8</v>
      </c>
      <c r="B134" s="20"/>
      <c r="C134" s="20"/>
      <c r="D134" s="20"/>
      <c r="E134" s="20"/>
      <c r="F134" s="20"/>
      <c r="G134" s="20"/>
      <c r="H134" s="20"/>
      <c r="I134" s="20"/>
      <c r="J134" s="20"/>
      <c r="K134" s="20"/>
      <c r="L134" s="20"/>
      <c r="M134" s="20"/>
      <c r="N134" s="20"/>
      <c r="O134" s="20"/>
      <c r="P134" s="20"/>
      <c r="Q134" s="20"/>
      <c r="S134" s="5" t="s">
        <v>383</v>
      </c>
      <c r="T134" s="5">
        <v>60</v>
      </c>
      <c r="U134" s="5" t="s">
        <v>44</v>
      </c>
      <c r="V134" s="1"/>
    </row>
    <row r="135" spans="1:22" x14ac:dyDescent="0.25">
      <c r="A135" s="20">
        <v>9</v>
      </c>
      <c r="B135" s="20"/>
      <c r="C135" s="20"/>
      <c r="D135" s="20"/>
      <c r="E135" s="20"/>
      <c r="F135" s="20"/>
      <c r="G135" s="20"/>
      <c r="H135" s="20"/>
      <c r="I135" s="20"/>
      <c r="J135" s="20"/>
      <c r="K135" s="20"/>
      <c r="L135" s="20"/>
      <c r="M135" s="20"/>
      <c r="N135" s="20"/>
      <c r="O135" s="20"/>
      <c r="P135" s="20"/>
      <c r="Q135" s="20"/>
      <c r="S135" s="5" t="s">
        <v>95</v>
      </c>
      <c r="T135" s="5">
        <v>1000</v>
      </c>
      <c r="U135" s="5" t="s">
        <v>46</v>
      </c>
    </row>
    <row r="136" spans="1:22" x14ac:dyDescent="0.25">
      <c r="A136" s="20">
        <v>10</v>
      </c>
      <c r="B136" s="20"/>
      <c r="C136" s="20"/>
      <c r="D136" s="20"/>
      <c r="E136" s="20"/>
      <c r="F136" s="20"/>
      <c r="G136" s="20"/>
      <c r="H136" s="20"/>
      <c r="I136" s="20"/>
      <c r="J136" s="20"/>
      <c r="K136" s="20"/>
      <c r="L136" s="20"/>
      <c r="M136" s="20"/>
      <c r="N136" s="20"/>
      <c r="O136" s="20"/>
      <c r="P136" s="20"/>
      <c r="Q136" s="20"/>
      <c r="S136" s="5" t="s">
        <v>96</v>
      </c>
      <c r="T136" s="5">
        <v>9000</v>
      </c>
      <c r="U136" s="5" t="s">
        <v>46</v>
      </c>
    </row>
    <row r="137" spans="1:22" x14ac:dyDescent="0.25">
      <c r="A137" s="20">
        <v>11</v>
      </c>
      <c r="B137" s="20"/>
      <c r="C137" s="20"/>
      <c r="D137" s="20"/>
      <c r="E137" s="20"/>
      <c r="F137" s="20"/>
      <c r="G137" s="20"/>
      <c r="H137" s="20"/>
      <c r="I137" s="20"/>
      <c r="J137" s="20"/>
      <c r="K137" s="20"/>
      <c r="L137" s="20"/>
      <c r="M137" s="20"/>
      <c r="N137" s="20"/>
      <c r="O137" s="20"/>
      <c r="P137" s="20"/>
      <c r="Q137" s="20"/>
      <c r="S137" s="5" t="s">
        <v>42</v>
      </c>
      <c r="T137" s="5">
        <v>210</v>
      </c>
      <c r="U137" s="5" t="s">
        <v>44</v>
      </c>
      <c r="V137" s="1"/>
    </row>
    <row r="138" spans="1:22" x14ac:dyDescent="0.25">
      <c r="A138" s="29"/>
      <c r="B138" s="29"/>
      <c r="C138" s="29"/>
      <c r="D138" s="29"/>
      <c r="E138" s="29"/>
      <c r="F138" s="29"/>
      <c r="G138" s="29"/>
      <c r="H138" s="29"/>
      <c r="I138" s="29"/>
      <c r="J138" s="29"/>
      <c r="K138" s="29"/>
      <c r="L138" s="29"/>
      <c r="M138" s="29"/>
      <c r="N138" s="29"/>
      <c r="O138" s="29"/>
      <c r="P138" s="29"/>
      <c r="Q138" s="29"/>
      <c r="S138" s="5" t="s">
        <v>43</v>
      </c>
      <c r="T138" s="5">
        <v>2.85</v>
      </c>
      <c r="U138" s="5" t="s">
        <v>45</v>
      </c>
    </row>
    <row r="139" spans="1:22" x14ac:dyDescent="0.25">
      <c r="A139" s="29"/>
      <c r="B139" s="29"/>
      <c r="C139" s="29"/>
      <c r="D139" s="29"/>
      <c r="E139" s="29"/>
      <c r="F139" s="29"/>
      <c r="G139" s="29"/>
      <c r="H139" s="29"/>
      <c r="I139" s="29"/>
      <c r="J139" s="29"/>
      <c r="K139" s="29"/>
      <c r="L139" s="29"/>
      <c r="M139" s="29"/>
      <c r="N139" s="29"/>
      <c r="O139" s="29"/>
      <c r="P139" s="29"/>
      <c r="Q139" s="29"/>
      <c r="S139" s="5" t="s">
        <v>47</v>
      </c>
      <c r="T139" s="5" t="s">
        <v>91</v>
      </c>
      <c r="U139" s="5" t="s">
        <v>100</v>
      </c>
    </row>
    <row r="140" spans="1:22" x14ac:dyDescent="0.25">
      <c r="A140" s="29"/>
      <c r="B140" s="29"/>
      <c r="C140" s="29"/>
      <c r="D140" s="29"/>
      <c r="E140" s="29"/>
      <c r="F140" s="29"/>
      <c r="G140" s="29"/>
      <c r="H140" s="29"/>
      <c r="I140" s="29"/>
      <c r="J140" s="29"/>
      <c r="K140" s="29"/>
      <c r="L140" s="29"/>
      <c r="M140" s="29"/>
      <c r="N140" s="29"/>
      <c r="O140" s="29"/>
      <c r="P140" s="29"/>
      <c r="Q140" s="29"/>
      <c r="S140" s="5" t="s">
        <v>134</v>
      </c>
      <c r="T140" s="5" t="s">
        <v>195</v>
      </c>
      <c r="U140" s="5"/>
    </row>
    <row r="141" spans="1:22" x14ac:dyDescent="0.25">
      <c r="A141" s="29"/>
      <c r="B141" s="29"/>
      <c r="C141" s="29"/>
      <c r="D141" s="29"/>
      <c r="E141" s="29"/>
      <c r="F141" s="29"/>
      <c r="G141" s="29"/>
      <c r="H141" s="29"/>
      <c r="I141" s="29"/>
      <c r="J141" s="29"/>
      <c r="K141" s="29"/>
      <c r="L141" s="29"/>
      <c r="M141" s="29"/>
      <c r="N141" s="29"/>
      <c r="O141" s="29"/>
      <c r="P141" s="29"/>
      <c r="Q141" s="29"/>
      <c r="S141" s="5" t="s">
        <v>194</v>
      </c>
      <c r="T141" s="5" t="s">
        <v>165</v>
      </c>
      <c r="U141" s="5"/>
    </row>
    <row r="142" spans="1:22" x14ac:dyDescent="0.25">
      <c r="A142" s="29"/>
      <c r="B142" s="29"/>
      <c r="C142" s="29"/>
      <c r="D142" s="29"/>
      <c r="E142" s="29"/>
      <c r="F142" s="29"/>
      <c r="G142" s="29"/>
      <c r="H142" s="29"/>
      <c r="I142" s="29"/>
      <c r="J142" s="29"/>
      <c r="K142" s="29"/>
      <c r="L142" s="29"/>
      <c r="M142" s="29"/>
      <c r="N142" s="29"/>
      <c r="O142" s="29"/>
      <c r="P142" s="29"/>
      <c r="Q142" s="29"/>
      <c r="S142" s="5" t="s">
        <v>209</v>
      </c>
      <c r="T142" s="5">
        <v>20</v>
      </c>
      <c r="U142" s="5" t="s">
        <v>45</v>
      </c>
    </row>
    <row r="143" spans="1:22" x14ac:dyDescent="0.25">
      <c r="A143" s="29"/>
      <c r="B143" s="29"/>
      <c r="C143" s="29"/>
      <c r="D143" s="29"/>
      <c r="E143" s="29"/>
      <c r="F143" s="29"/>
      <c r="G143" s="29"/>
      <c r="H143" s="29"/>
      <c r="I143" s="29"/>
      <c r="J143" s="29"/>
      <c r="K143" s="29"/>
      <c r="L143" s="29"/>
      <c r="M143" s="29"/>
      <c r="N143" s="29"/>
      <c r="O143" s="29"/>
      <c r="P143" s="29"/>
      <c r="Q143" s="29"/>
      <c r="S143" s="5" t="s">
        <v>210</v>
      </c>
      <c r="T143" s="5">
        <v>10</v>
      </c>
      <c r="U143" s="5" t="s">
        <v>45</v>
      </c>
    </row>
    <row r="144" spans="1:22" x14ac:dyDescent="0.25">
      <c r="A144" s="29"/>
      <c r="B144" s="29"/>
      <c r="C144" s="29"/>
      <c r="D144" s="29"/>
      <c r="E144" s="29"/>
      <c r="F144" s="29"/>
      <c r="G144" s="29"/>
      <c r="H144" s="29"/>
      <c r="I144" s="29"/>
      <c r="J144" s="29"/>
      <c r="K144" s="29"/>
      <c r="L144" s="29"/>
      <c r="M144" s="29"/>
      <c r="N144" s="29"/>
      <c r="O144" s="29"/>
      <c r="P144" s="29"/>
      <c r="Q144" s="29"/>
      <c r="S144" s="5" t="s">
        <v>211</v>
      </c>
      <c r="T144" s="5">
        <v>0.3</v>
      </c>
      <c r="U144" s="5" t="s">
        <v>45</v>
      </c>
    </row>
    <row r="145" spans="1:46" x14ac:dyDescent="0.25">
      <c r="A145" s="29"/>
      <c r="B145" s="29"/>
      <c r="C145" s="29"/>
      <c r="D145" s="29"/>
      <c r="E145" s="29"/>
      <c r="F145" s="29"/>
      <c r="G145" s="29"/>
      <c r="H145" s="29"/>
      <c r="I145" s="29"/>
      <c r="J145" s="29"/>
      <c r="K145" s="29"/>
      <c r="L145" s="29"/>
      <c r="M145" s="29"/>
      <c r="N145" s="29"/>
      <c r="O145" s="29"/>
      <c r="P145" s="29"/>
      <c r="Q145" s="29"/>
      <c r="S145" s="80" t="s">
        <v>384</v>
      </c>
      <c r="T145" s="5">
        <v>0</v>
      </c>
      <c r="U145" s="5"/>
      <c r="V145" s="1"/>
    </row>
    <row r="146" spans="1:46" x14ac:dyDescent="0.25">
      <c r="A146" s="29"/>
      <c r="B146" s="29"/>
      <c r="C146" s="29"/>
      <c r="D146" s="29"/>
      <c r="E146" s="29"/>
      <c r="F146" s="29"/>
      <c r="G146" s="29"/>
      <c r="H146" s="29"/>
      <c r="I146" s="29"/>
      <c r="J146" s="29"/>
      <c r="K146" s="29"/>
      <c r="L146" s="29"/>
      <c r="M146" s="29"/>
      <c r="N146" s="29"/>
      <c r="O146" s="29"/>
      <c r="P146" s="29"/>
      <c r="Q146" s="29"/>
      <c r="S146" s="5" t="s">
        <v>196</v>
      </c>
      <c r="T146" s="5" t="s">
        <v>208</v>
      </c>
      <c r="U146" s="5" t="s">
        <v>200</v>
      </c>
    </row>
    <row r="147" spans="1:46" x14ac:dyDescent="0.25">
      <c r="A147" s="29"/>
      <c r="B147" s="29"/>
      <c r="C147" s="29"/>
      <c r="D147" s="29"/>
      <c r="E147" s="29"/>
      <c r="F147" s="29"/>
      <c r="G147" s="29"/>
      <c r="H147" s="29"/>
      <c r="I147" s="29"/>
      <c r="J147" s="29"/>
      <c r="K147" s="29"/>
      <c r="L147" s="29"/>
      <c r="M147" s="29"/>
      <c r="N147" s="29"/>
      <c r="O147" s="29"/>
      <c r="P147" s="29"/>
      <c r="Q147" s="29"/>
      <c r="S147" s="5" t="s">
        <v>201</v>
      </c>
      <c r="T147" s="5">
        <v>5</v>
      </c>
      <c r="U147" s="5" t="s">
        <v>45</v>
      </c>
      <c r="V147" s="1"/>
    </row>
    <row r="148" spans="1:46" x14ac:dyDescent="0.25">
      <c r="A148" s="29"/>
      <c r="B148" s="29"/>
      <c r="C148" s="29"/>
      <c r="D148" s="29"/>
      <c r="E148" s="29"/>
      <c r="F148" s="29"/>
      <c r="G148" s="29"/>
      <c r="H148" s="29"/>
      <c r="I148" s="29"/>
      <c r="J148" s="29"/>
      <c r="K148" s="29"/>
      <c r="L148" s="29"/>
      <c r="M148" s="29"/>
      <c r="N148" s="29"/>
      <c r="O148" s="29"/>
      <c r="P148" s="29"/>
      <c r="Q148" s="29"/>
      <c r="S148" s="5" t="s">
        <v>202</v>
      </c>
      <c r="T148" s="5">
        <v>7</v>
      </c>
      <c r="U148" s="5" t="s">
        <v>100</v>
      </c>
    </row>
    <row r="149" spans="1:46" x14ac:dyDescent="0.25">
      <c r="A149" s="29"/>
      <c r="B149" s="29"/>
      <c r="C149" s="29"/>
      <c r="D149" s="29"/>
      <c r="E149" s="29"/>
      <c r="F149" s="29"/>
      <c r="G149" s="29"/>
      <c r="H149" s="29"/>
      <c r="I149" s="29"/>
      <c r="J149" s="29"/>
      <c r="K149" s="29"/>
      <c r="L149" s="29"/>
      <c r="M149" s="29"/>
      <c r="N149" s="29"/>
      <c r="O149" s="29"/>
      <c r="P149" s="29"/>
      <c r="Q149" s="29"/>
      <c r="S149" s="5" t="s">
        <v>203</v>
      </c>
      <c r="T149" s="5">
        <v>2500</v>
      </c>
      <c r="U149" s="5" t="s">
        <v>46</v>
      </c>
    </row>
    <row r="150" spans="1:46" x14ac:dyDescent="0.25">
      <c r="A150" s="29"/>
      <c r="B150" s="29"/>
      <c r="C150" s="29"/>
      <c r="D150" s="29"/>
      <c r="E150" s="29"/>
      <c r="F150" s="29"/>
      <c r="G150" s="29"/>
      <c r="H150" s="29"/>
      <c r="I150" s="29"/>
      <c r="J150" s="29"/>
      <c r="K150" s="29"/>
      <c r="L150" s="29"/>
      <c r="M150" s="29"/>
      <c r="N150" s="29"/>
      <c r="O150" s="29"/>
      <c r="P150" s="29"/>
      <c r="Q150" s="29"/>
      <c r="S150" s="5" t="s">
        <v>204</v>
      </c>
      <c r="T150" s="5">
        <f>-T148</f>
        <v>-7</v>
      </c>
      <c r="U150" s="5" t="s">
        <v>100</v>
      </c>
    </row>
    <row r="151" spans="1:46" x14ac:dyDescent="0.25">
      <c r="A151" s="29"/>
      <c r="B151" s="29"/>
      <c r="C151" s="29"/>
      <c r="D151" s="29"/>
      <c r="E151" s="29"/>
      <c r="F151" s="29"/>
      <c r="G151" s="29"/>
      <c r="H151" s="29"/>
      <c r="I151" s="29"/>
      <c r="J151" s="29"/>
      <c r="K151" s="29"/>
      <c r="L151" s="29"/>
      <c r="M151" s="29"/>
      <c r="N151" s="29"/>
      <c r="O151" s="29"/>
      <c r="P151" s="29"/>
      <c r="Q151" s="29"/>
      <c r="S151" s="3" t="s">
        <v>205</v>
      </c>
      <c r="T151" s="3">
        <f>T149</f>
        <v>2500</v>
      </c>
      <c r="U151" s="5" t="s">
        <v>46</v>
      </c>
    </row>
    <row r="152" spans="1:46" x14ac:dyDescent="0.25">
      <c r="A152" s="29"/>
      <c r="B152" s="29"/>
      <c r="C152" s="29"/>
      <c r="D152" s="29"/>
      <c r="E152" s="29"/>
      <c r="F152" s="29"/>
      <c r="G152" s="29"/>
      <c r="H152" s="29"/>
      <c r="I152" s="29"/>
      <c r="J152" s="29"/>
      <c r="K152" s="29"/>
      <c r="L152" s="29"/>
      <c r="M152" s="29"/>
      <c r="N152" s="29"/>
      <c r="O152" s="29"/>
      <c r="P152" s="29"/>
      <c r="Q152" s="29"/>
      <c r="S152" s="3" t="s">
        <v>206</v>
      </c>
      <c r="T152" s="3">
        <v>0.2</v>
      </c>
      <c r="U152" s="5" t="s">
        <v>45</v>
      </c>
    </row>
    <row r="153" spans="1:46" x14ac:dyDescent="0.25">
      <c r="A153" s="29"/>
      <c r="B153" s="29"/>
      <c r="C153" s="29"/>
      <c r="D153" s="29"/>
      <c r="E153" s="29"/>
      <c r="F153" s="29"/>
      <c r="G153" s="29"/>
      <c r="H153" s="29"/>
      <c r="I153" s="29"/>
      <c r="J153" s="29"/>
      <c r="K153" s="29"/>
      <c r="L153" s="29"/>
      <c r="M153" s="29"/>
      <c r="N153" s="29"/>
      <c r="O153" s="29"/>
      <c r="P153" s="29"/>
      <c r="Q153" s="29"/>
      <c r="S153" s="3" t="s">
        <v>207</v>
      </c>
      <c r="T153" s="3">
        <v>7500</v>
      </c>
      <c r="U153" s="5" t="s">
        <v>46</v>
      </c>
    </row>
    <row r="154" spans="1:46" x14ac:dyDescent="0.25">
      <c r="A154" s="29"/>
      <c r="B154" s="29"/>
      <c r="C154" s="29"/>
      <c r="D154" s="29"/>
      <c r="E154" s="29"/>
      <c r="F154" s="29"/>
      <c r="G154" s="29"/>
      <c r="H154" s="29"/>
      <c r="I154" s="29"/>
      <c r="J154" s="29"/>
      <c r="K154" s="29"/>
      <c r="L154" s="29"/>
      <c r="M154" s="29"/>
      <c r="N154" s="29"/>
      <c r="O154" s="29"/>
      <c r="P154" s="29"/>
      <c r="Q154" s="29"/>
      <c r="S154" s="29"/>
      <c r="T154" s="29"/>
      <c r="U154" s="93"/>
      <c r="V154" s="29"/>
      <c r="W154" s="29"/>
      <c r="X154" s="29"/>
      <c r="Y154" s="29"/>
      <c r="Z154" s="29"/>
      <c r="AA154" s="29"/>
      <c r="AB154" s="29"/>
      <c r="AC154" s="29"/>
      <c r="AE154" s="29"/>
      <c r="AF154" s="29"/>
    </row>
    <row r="155" spans="1:46" x14ac:dyDescent="0.25">
      <c r="A155" s="29"/>
      <c r="B155" s="29"/>
      <c r="C155" s="29"/>
      <c r="D155" s="29"/>
      <c r="E155" s="29"/>
      <c r="F155" s="29"/>
      <c r="G155" s="29"/>
      <c r="H155" s="29"/>
      <c r="I155" s="29"/>
      <c r="J155" s="29"/>
      <c r="K155" s="29"/>
      <c r="L155" s="29"/>
      <c r="M155" s="29"/>
      <c r="N155" s="29"/>
      <c r="O155" s="29"/>
      <c r="P155" s="29"/>
      <c r="Q155" s="29"/>
      <c r="S155" s="98" t="s">
        <v>336</v>
      </c>
      <c r="T155" s="98" t="s">
        <v>337</v>
      </c>
      <c r="U155" s="99" t="s">
        <v>375</v>
      </c>
      <c r="V155" s="29"/>
      <c r="W155" s="29"/>
      <c r="X155" s="29"/>
      <c r="Y155" s="29"/>
      <c r="Z155" s="29"/>
      <c r="AA155" s="29"/>
      <c r="AB155" s="29"/>
      <c r="AC155" s="29"/>
      <c r="AD155" s="29"/>
      <c r="AE155" s="29"/>
      <c r="AF155" s="29"/>
    </row>
    <row r="156" spans="1:46" x14ac:dyDescent="0.25">
      <c r="A156" s="29"/>
      <c r="B156" s="29"/>
      <c r="C156" s="29"/>
      <c r="D156" s="29"/>
      <c r="E156" s="29"/>
      <c r="F156" s="29"/>
      <c r="G156" s="29"/>
      <c r="H156" s="29"/>
      <c r="I156" s="29"/>
      <c r="J156" s="29"/>
      <c r="K156" s="29"/>
      <c r="L156" s="29"/>
      <c r="M156" s="29"/>
      <c r="N156" s="29"/>
      <c r="O156" s="29"/>
      <c r="P156" s="29"/>
      <c r="Q156" s="29"/>
      <c r="R156" s="29"/>
      <c r="S156" s="77"/>
      <c r="T156" s="77"/>
      <c r="U156" s="94"/>
      <c r="V156" s="29"/>
      <c r="W156" s="29"/>
      <c r="X156" s="29"/>
      <c r="Y156" s="29"/>
      <c r="Z156" s="29"/>
      <c r="AA156" s="29"/>
      <c r="AB156" s="29"/>
      <c r="AC156" s="29"/>
      <c r="AD156" s="29"/>
      <c r="AE156" s="29"/>
      <c r="AF156" s="29"/>
      <c r="AG156" s="29"/>
      <c r="AH156" s="29"/>
      <c r="AI156" s="29"/>
      <c r="AJ156" s="29"/>
      <c r="AK156" s="29"/>
      <c r="AL156" s="29"/>
      <c r="AM156" s="29"/>
      <c r="AN156" s="29"/>
    </row>
    <row r="157" spans="1:46" x14ac:dyDescent="0.25">
      <c r="A157" s="29"/>
      <c r="B157" s="29"/>
      <c r="C157" s="29"/>
      <c r="D157" s="29"/>
      <c r="E157" s="29"/>
      <c r="F157" s="29"/>
      <c r="G157" s="29"/>
      <c r="H157" s="29"/>
      <c r="I157" s="29"/>
      <c r="J157" s="29"/>
      <c r="K157" s="29"/>
      <c r="L157" s="29"/>
      <c r="M157" s="29"/>
      <c r="N157" s="29"/>
      <c r="O157" s="29"/>
      <c r="P157" s="29"/>
      <c r="Q157" s="29"/>
      <c r="R157" s="29"/>
      <c r="S157" s="77" t="s">
        <v>339</v>
      </c>
      <c r="T157" s="77">
        <v>12</v>
      </c>
      <c r="U157" s="94" t="s">
        <v>99</v>
      </c>
      <c r="V157" s="29"/>
      <c r="W157" s="29"/>
      <c r="X157" s="29"/>
      <c r="Y157" s="29"/>
      <c r="Z157" s="29"/>
      <c r="AA157" s="29"/>
      <c r="AB157" s="29"/>
      <c r="AC157" s="29"/>
      <c r="AD157" s="29"/>
      <c r="AE157" s="29"/>
      <c r="AF157" s="29"/>
      <c r="AG157" s="29"/>
      <c r="AH157" s="29"/>
      <c r="AI157" s="29"/>
      <c r="AJ157" s="29"/>
      <c r="AK157" s="29"/>
      <c r="AL157" s="29"/>
      <c r="AM157" s="29"/>
      <c r="AN157" s="29"/>
    </row>
    <row r="158" spans="1:46" x14ac:dyDescent="0.25">
      <c r="A158" s="29"/>
      <c r="B158" s="29"/>
      <c r="C158" s="29"/>
      <c r="D158" s="29"/>
      <c r="E158" s="29"/>
      <c r="F158" s="29"/>
      <c r="G158" s="29"/>
      <c r="H158" s="29"/>
      <c r="I158" s="29"/>
      <c r="J158" s="29"/>
      <c r="K158" s="29"/>
      <c r="L158" s="29"/>
      <c r="M158" s="29"/>
      <c r="N158" s="29"/>
      <c r="O158" s="29"/>
      <c r="P158" s="29"/>
      <c r="Q158" s="29"/>
      <c r="R158" s="29"/>
      <c r="S158" s="77" t="s">
        <v>342</v>
      </c>
      <c r="T158" s="77">
        <v>100</v>
      </c>
      <c r="U158" s="94" t="s">
        <v>99</v>
      </c>
      <c r="V158" s="29"/>
      <c r="W158" s="29"/>
      <c r="X158" s="29"/>
      <c r="Y158" s="29"/>
      <c r="Z158" s="29"/>
      <c r="AA158" s="29"/>
      <c r="AB158" s="29"/>
      <c r="AC158" s="29"/>
      <c r="AD158" s="29"/>
      <c r="AE158" s="29"/>
      <c r="AF158" s="29"/>
      <c r="AG158" s="29"/>
      <c r="AH158" s="29"/>
      <c r="AI158" s="29"/>
      <c r="AJ158" s="29"/>
      <c r="AK158" s="29"/>
      <c r="AL158" s="29"/>
      <c r="AM158" s="29"/>
      <c r="AN158" s="29"/>
    </row>
    <row r="160" spans="1:46" x14ac:dyDescent="0.25">
      <c r="A160" s="59" t="s">
        <v>171</v>
      </c>
      <c r="B160" s="2" t="s">
        <v>347</v>
      </c>
      <c r="C160" s="59" t="s">
        <v>170</v>
      </c>
      <c r="D160" s="2" t="s">
        <v>378</v>
      </c>
      <c r="E160" s="29"/>
      <c r="F160" s="29"/>
      <c r="G160" s="29"/>
      <c r="H160" s="29"/>
      <c r="I160" s="29"/>
      <c r="J160" s="29"/>
      <c r="K160" s="29"/>
      <c r="L160" s="29"/>
      <c r="M160" s="29"/>
      <c r="N160" s="29"/>
      <c r="O160" s="29"/>
      <c r="P160" s="29"/>
      <c r="AO160" t="s">
        <v>172</v>
      </c>
      <c r="AP160" t="s">
        <v>348</v>
      </c>
      <c r="AQ160" t="s">
        <v>171</v>
      </c>
      <c r="AR160" t="s">
        <v>347</v>
      </c>
      <c r="AS160" t="s">
        <v>170</v>
      </c>
      <c r="AT160" t="s">
        <v>378</v>
      </c>
    </row>
    <row r="161" spans="1:22" x14ac:dyDescent="0.25">
      <c r="A161" s="40" t="s">
        <v>0</v>
      </c>
      <c r="B161" s="41"/>
      <c r="C161" s="18"/>
      <c r="D161" s="18"/>
      <c r="E161" s="18"/>
      <c r="F161" s="18"/>
      <c r="G161" s="18"/>
      <c r="H161" s="18"/>
      <c r="I161" s="18"/>
      <c r="J161" s="18"/>
      <c r="K161" s="18"/>
      <c r="L161" s="18"/>
      <c r="M161" s="18"/>
      <c r="N161" s="18"/>
      <c r="O161" s="18"/>
      <c r="P161" s="18"/>
      <c r="Q161" s="59" t="s">
        <v>333</v>
      </c>
    </row>
    <row r="162" spans="1:22" x14ac:dyDescent="0.25">
      <c r="A162" s="20">
        <v>1</v>
      </c>
      <c r="B162" s="8" t="s">
        <v>1</v>
      </c>
      <c r="C162" s="8" t="s">
        <v>19</v>
      </c>
      <c r="D162" s="8">
        <v>20</v>
      </c>
      <c r="E162" s="8">
        <v>10</v>
      </c>
      <c r="F162" s="8">
        <v>0</v>
      </c>
      <c r="G162" s="8">
        <v>30</v>
      </c>
      <c r="H162" s="8">
        <v>10</v>
      </c>
      <c r="I162" s="8">
        <v>0</v>
      </c>
      <c r="J162" s="8" t="s">
        <v>20</v>
      </c>
      <c r="K162" s="8">
        <v>0.6</v>
      </c>
      <c r="L162" s="8">
        <v>0.2</v>
      </c>
      <c r="M162" s="8"/>
      <c r="N162" s="8"/>
      <c r="O162" s="8"/>
      <c r="P162" s="8"/>
      <c r="Q162" s="9" t="s">
        <v>346</v>
      </c>
      <c r="S162" s="97" t="s">
        <v>41</v>
      </c>
      <c r="T162" s="3"/>
      <c r="U162" s="5"/>
    </row>
    <row r="163" spans="1:22" x14ac:dyDescent="0.25">
      <c r="A163" s="20">
        <v>2</v>
      </c>
      <c r="B163" s="8" t="s">
        <v>9</v>
      </c>
      <c r="C163" s="8" t="s">
        <v>126</v>
      </c>
      <c r="D163" s="8" t="s">
        <v>126</v>
      </c>
      <c r="E163" s="8" t="s">
        <v>142</v>
      </c>
      <c r="F163" s="8" t="s">
        <v>132</v>
      </c>
      <c r="G163" s="8">
        <v>0</v>
      </c>
      <c r="H163" s="8" t="s">
        <v>21</v>
      </c>
      <c r="I163" s="8">
        <v>0.6</v>
      </c>
      <c r="J163" s="8">
        <v>0.2</v>
      </c>
      <c r="K163" s="8"/>
      <c r="L163" s="8"/>
      <c r="M163" s="8"/>
      <c r="N163" s="8"/>
      <c r="O163" s="8"/>
      <c r="P163" s="8"/>
      <c r="Q163" s="9" t="s">
        <v>346</v>
      </c>
      <c r="S163" s="5" t="s">
        <v>124</v>
      </c>
      <c r="T163" s="5">
        <v>0.2</v>
      </c>
      <c r="U163" s="5" t="s">
        <v>45</v>
      </c>
    </row>
    <row r="164" spans="1:22" x14ac:dyDescent="0.25">
      <c r="A164" s="20">
        <v>3</v>
      </c>
      <c r="B164" s="8" t="s">
        <v>1</v>
      </c>
      <c r="C164" s="8" t="s">
        <v>19</v>
      </c>
      <c r="D164" s="8" t="s">
        <v>126</v>
      </c>
      <c r="E164" s="8" t="s">
        <v>126</v>
      </c>
      <c r="F164" s="8" t="s">
        <v>126</v>
      </c>
      <c r="G164" s="8" t="e">
        <f>StartX</f>
        <v>#NAME?</v>
      </c>
      <c r="H164" s="8" t="e">
        <f>StartY</f>
        <v>#NAME?</v>
      </c>
      <c r="I164" s="8">
        <v>0</v>
      </c>
      <c r="J164" s="8" t="s">
        <v>20</v>
      </c>
      <c r="K164" s="8">
        <v>0.6</v>
      </c>
      <c r="L164" s="8">
        <v>0.2</v>
      </c>
      <c r="M164" s="8"/>
      <c r="N164" s="8"/>
      <c r="O164" s="8"/>
      <c r="P164" s="8"/>
      <c r="Q164" s="9" t="s">
        <v>346</v>
      </c>
      <c r="S164" s="5" t="s">
        <v>97</v>
      </c>
      <c r="T164" s="5">
        <v>1</v>
      </c>
      <c r="U164" s="5" t="s">
        <v>99</v>
      </c>
    </row>
    <row r="165" spans="1:22" x14ac:dyDescent="0.25">
      <c r="A165" s="20">
        <v>4</v>
      </c>
      <c r="B165" s="20"/>
      <c r="C165" s="20"/>
      <c r="D165" s="20"/>
      <c r="E165" s="20"/>
      <c r="F165" s="20"/>
      <c r="G165" s="20"/>
      <c r="H165" s="20"/>
      <c r="I165" s="20"/>
      <c r="J165" s="20"/>
      <c r="K165" s="20"/>
      <c r="L165" s="20"/>
      <c r="M165" s="20"/>
      <c r="N165" s="20"/>
      <c r="O165" s="20"/>
      <c r="P165" s="20"/>
      <c r="Q165" s="20"/>
      <c r="S165" s="5" t="s">
        <v>98</v>
      </c>
      <c r="T165" s="5">
        <v>1</v>
      </c>
      <c r="U165" s="5" t="s">
        <v>99</v>
      </c>
    </row>
    <row r="166" spans="1:22" x14ac:dyDescent="0.25">
      <c r="A166" s="20">
        <v>5</v>
      </c>
      <c r="B166" s="20"/>
      <c r="C166" s="20"/>
      <c r="D166" s="20"/>
      <c r="E166" s="20"/>
      <c r="F166" s="20"/>
      <c r="G166" s="20"/>
      <c r="H166" s="20"/>
      <c r="I166" s="20"/>
      <c r="J166" s="20"/>
      <c r="K166" s="20"/>
      <c r="L166" s="20"/>
      <c r="M166" s="20"/>
      <c r="N166" s="20"/>
      <c r="O166" s="20"/>
      <c r="P166" s="20"/>
      <c r="Q166" s="20"/>
      <c r="S166" s="5" t="s">
        <v>236</v>
      </c>
      <c r="T166" s="5" t="s">
        <v>247</v>
      </c>
      <c r="U166" s="5"/>
    </row>
    <row r="167" spans="1:22" x14ac:dyDescent="0.25">
      <c r="A167" s="20">
        <v>6</v>
      </c>
      <c r="B167" s="20"/>
      <c r="C167" s="20"/>
      <c r="D167" s="20"/>
      <c r="E167" s="20"/>
      <c r="F167" s="20"/>
      <c r="G167" s="20"/>
      <c r="H167" s="20"/>
      <c r="I167" s="20"/>
      <c r="J167" s="20"/>
      <c r="K167" s="20"/>
      <c r="L167" s="20"/>
      <c r="M167" s="20"/>
      <c r="N167" s="20"/>
      <c r="O167" s="20"/>
      <c r="P167" s="20"/>
      <c r="Q167" s="20"/>
      <c r="S167" s="5" t="s">
        <v>237</v>
      </c>
      <c r="T167" s="5">
        <v>0</v>
      </c>
      <c r="U167" s="5"/>
    </row>
    <row r="168" spans="1:22" x14ac:dyDescent="0.25">
      <c r="A168" s="20">
        <v>7</v>
      </c>
      <c r="B168" s="20"/>
      <c r="C168" s="20"/>
      <c r="D168" s="20"/>
      <c r="E168" s="20"/>
      <c r="F168" s="20"/>
      <c r="G168" s="20"/>
      <c r="H168" s="20"/>
      <c r="I168" s="20"/>
      <c r="J168" s="20"/>
      <c r="K168" s="20"/>
      <c r="L168" s="20"/>
      <c r="M168" s="20"/>
      <c r="N168" s="20"/>
      <c r="O168" s="20"/>
      <c r="P168" s="20"/>
      <c r="Q168" s="20"/>
      <c r="S168" s="58"/>
      <c r="T168" s="58"/>
      <c r="U168" s="92"/>
    </row>
    <row r="169" spans="1:22" x14ac:dyDescent="0.25">
      <c r="A169" s="20">
        <v>8</v>
      </c>
      <c r="B169" s="20"/>
      <c r="C169" s="20"/>
      <c r="D169" s="20"/>
      <c r="E169" s="20"/>
      <c r="F169" s="20"/>
      <c r="G169" s="20"/>
      <c r="H169" s="20"/>
      <c r="I169" s="20"/>
      <c r="J169" s="20"/>
      <c r="K169" s="20"/>
      <c r="L169" s="20"/>
      <c r="M169" s="20"/>
      <c r="N169" s="20"/>
      <c r="O169" s="20"/>
      <c r="P169" s="20"/>
      <c r="Q169" s="20"/>
      <c r="S169" s="5" t="s">
        <v>383</v>
      </c>
      <c r="T169" s="5">
        <v>60</v>
      </c>
      <c r="U169" s="5" t="s">
        <v>44</v>
      </c>
      <c r="V169" s="1"/>
    </row>
    <row r="170" spans="1:22" x14ac:dyDescent="0.25">
      <c r="A170" s="20">
        <v>9</v>
      </c>
      <c r="B170" s="20"/>
      <c r="C170" s="20"/>
      <c r="D170" s="20"/>
      <c r="E170" s="20"/>
      <c r="F170" s="20"/>
      <c r="G170" s="20"/>
      <c r="H170" s="20"/>
      <c r="I170" s="20"/>
      <c r="J170" s="20"/>
      <c r="K170" s="20"/>
      <c r="L170" s="20"/>
      <c r="M170" s="20"/>
      <c r="N170" s="20"/>
      <c r="O170" s="20"/>
      <c r="P170" s="20"/>
      <c r="Q170" s="20"/>
      <c r="S170" s="5" t="s">
        <v>95</v>
      </c>
      <c r="T170" s="5">
        <v>1000</v>
      </c>
      <c r="U170" s="5" t="s">
        <v>46</v>
      </c>
    </row>
    <row r="171" spans="1:22" x14ac:dyDescent="0.25">
      <c r="A171" s="20">
        <v>10</v>
      </c>
      <c r="B171" s="20"/>
      <c r="C171" s="20"/>
      <c r="D171" s="20"/>
      <c r="E171" s="20"/>
      <c r="F171" s="20"/>
      <c r="G171" s="20"/>
      <c r="H171" s="20"/>
      <c r="I171" s="20"/>
      <c r="J171" s="20"/>
      <c r="K171" s="20"/>
      <c r="L171" s="20"/>
      <c r="M171" s="20"/>
      <c r="N171" s="20"/>
      <c r="O171" s="20"/>
      <c r="P171" s="20"/>
      <c r="Q171" s="20"/>
      <c r="S171" s="5" t="s">
        <v>96</v>
      </c>
      <c r="T171" s="5">
        <v>9000</v>
      </c>
      <c r="U171" s="5" t="s">
        <v>46</v>
      </c>
    </row>
    <row r="172" spans="1:22" x14ac:dyDescent="0.25">
      <c r="A172" s="20">
        <v>11</v>
      </c>
      <c r="B172" s="20"/>
      <c r="C172" s="20"/>
      <c r="D172" s="20"/>
      <c r="E172" s="20"/>
      <c r="F172" s="20"/>
      <c r="G172" s="20"/>
      <c r="H172" s="20"/>
      <c r="I172" s="20"/>
      <c r="J172" s="20"/>
      <c r="K172" s="20"/>
      <c r="L172" s="20"/>
      <c r="M172" s="20"/>
      <c r="N172" s="20"/>
      <c r="O172" s="20"/>
      <c r="P172" s="20"/>
      <c r="Q172" s="20"/>
      <c r="S172" s="5" t="s">
        <v>42</v>
      </c>
      <c r="T172" s="5">
        <v>210</v>
      </c>
      <c r="U172" s="5" t="s">
        <v>44</v>
      </c>
      <c r="V172" s="1"/>
    </row>
    <row r="173" spans="1:22" x14ac:dyDescent="0.25">
      <c r="A173" s="29"/>
      <c r="B173" s="29"/>
      <c r="C173" s="29"/>
      <c r="D173" s="29"/>
      <c r="E173" s="29"/>
      <c r="F173" s="29"/>
      <c r="G173" s="29"/>
      <c r="H173" s="29"/>
      <c r="I173" s="29"/>
      <c r="J173" s="29"/>
      <c r="K173" s="29"/>
      <c r="L173" s="29"/>
      <c r="M173" s="29"/>
      <c r="N173" s="29"/>
      <c r="O173" s="29"/>
      <c r="P173" s="29"/>
      <c r="Q173" s="29"/>
      <c r="S173" s="5" t="s">
        <v>43</v>
      </c>
      <c r="T173" s="5">
        <v>2.85</v>
      </c>
      <c r="U173" s="5" t="s">
        <v>45</v>
      </c>
    </row>
    <row r="174" spans="1:22" x14ac:dyDescent="0.25">
      <c r="A174" s="29"/>
      <c r="B174" s="29"/>
      <c r="C174" s="29"/>
      <c r="D174" s="29"/>
      <c r="E174" s="29"/>
      <c r="F174" s="29"/>
      <c r="G174" s="29"/>
      <c r="H174" s="29"/>
      <c r="I174" s="29"/>
      <c r="J174" s="29"/>
      <c r="K174" s="29"/>
      <c r="L174" s="29"/>
      <c r="M174" s="29"/>
      <c r="N174" s="29"/>
      <c r="O174" s="29"/>
      <c r="P174" s="29"/>
      <c r="Q174" s="29"/>
      <c r="S174" s="5" t="s">
        <v>47</v>
      </c>
      <c r="T174" s="5" t="s">
        <v>91</v>
      </c>
      <c r="U174" s="5" t="s">
        <v>100</v>
      </c>
    </row>
    <row r="175" spans="1:22" x14ac:dyDescent="0.25">
      <c r="A175" s="29"/>
      <c r="B175" s="29"/>
      <c r="C175" s="29"/>
      <c r="D175" s="29"/>
      <c r="E175" s="29"/>
      <c r="F175" s="29"/>
      <c r="G175" s="29"/>
      <c r="H175" s="29"/>
      <c r="I175" s="29"/>
      <c r="J175" s="29"/>
      <c r="K175" s="29"/>
      <c r="L175" s="29"/>
      <c r="M175" s="29"/>
      <c r="N175" s="29"/>
      <c r="O175" s="29"/>
      <c r="P175" s="29"/>
      <c r="Q175" s="29"/>
      <c r="S175" s="5" t="s">
        <v>134</v>
      </c>
      <c r="T175" s="5" t="s">
        <v>195</v>
      </c>
      <c r="U175" s="5"/>
    </row>
    <row r="176" spans="1:22" x14ac:dyDescent="0.25">
      <c r="A176" s="29"/>
      <c r="B176" s="29"/>
      <c r="C176" s="29"/>
      <c r="D176" s="29"/>
      <c r="E176" s="29"/>
      <c r="F176" s="29"/>
      <c r="G176" s="29"/>
      <c r="H176" s="29"/>
      <c r="I176" s="29"/>
      <c r="J176" s="29"/>
      <c r="K176" s="29"/>
      <c r="L176" s="29"/>
      <c r="M176" s="29"/>
      <c r="N176" s="29"/>
      <c r="O176" s="29"/>
      <c r="P176" s="29"/>
      <c r="Q176" s="29"/>
      <c r="S176" s="5" t="s">
        <v>194</v>
      </c>
      <c r="T176" s="5" t="s">
        <v>165</v>
      </c>
      <c r="U176" s="5"/>
    </row>
    <row r="177" spans="1:32" x14ac:dyDescent="0.25">
      <c r="A177" s="29"/>
      <c r="B177" s="29"/>
      <c r="C177" s="29"/>
      <c r="D177" s="29"/>
      <c r="E177" s="29"/>
      <c r="F177" s="29"/>
      <c r="G177" s="29"/>
      <c r="H177" s="29"/>
      <c r="I177" s="29"/>
      <c r="J177" s="29"/>
      <c r="K177" s="29"/>
      <c r="L177" s="29"/>
      <c r="M177" s="29"/>
      <c r="N177" s="29"/>
      <c r="O177" s="29"/>
      <c r="P177" s="29"/>
      <c r="Q177" s="29"/>
      <c r="S177" s="5" t="s">
        <v>209</v>
      </c>
      <c r="T177" s="5">
        <v>20</v>
      </c>
      <c r="U177" s="5" t="s">
        <v>45</v>
      </c>
    </row>
    <row r="178" spans="1:32" x14ac:dyDescent="0.25">
      <c r="A178" s="29"/>
      <c r="B178" s="29"/>
      <c r="C178" s="29"/>
      <c r="D178" s="29"/>
      <c r="E178" s="29"/>
      <c r="F178" s="29"/>
      <c r="G178" s="29"/>
      <c r="H178" s="29"/>
      <c r="I178" s="29"/>
      <c r="J178" s="29"/>
      <c r="K178" s="29"/>
      <c r="L178" s="29"/>
      <c r="M178" s="29"/>
      <c r="N178" s="29"/>
      <c r="O178" s="29"/>
      <c r="P178" s="29"/>
      <c r="Q178" s="29"/>
      <c r="S178" s="5" t="s">
        <v>210</v>
      </c>
      <c r="T178" s="5">
        <v>10</v>
      </c>
      <c r="U178" s="5" t="s">
        <v>45</v>
      </c>
    </row>
    <row r="179" spans="1:32" x14ac:dyDescent="0.25">
      <c r="A179" s="29"/>
      <c r="B179" s="29"/>
      <c r="C179" s="29"/>
      <c r="D179" s="29"/>
      <c r="E179" s="29"/>
      <c r="F179" s="29"/>
      <c r="G179" s="29"/>
      <c r="H179" s="29"/>
      <c r="I179" s="29"/>
      <c r="J179" s="29"/>
      <c r="K179" s="29"/>
      <c r="L179" s="29"/>
      <c r="M179" s="29"/>
      <c r="N179" s="29"/>
      <c r="O179" s="29"/>
      <c r="P179" s="29"/>
      <c r="Q179" s="29"/>
      <c r="S179" s="5" t="s">
        <v>211</v>
      </c>
      <c r="T179" s="5">
        <v>0.3</v>
      </c>
      <c r="U179" s="5" t="s">
        <v>45</v>
      </c>
    </row>
    <row r="180" spans="1:32" x14ac:dyDescent="0.25">
      <c r="A180" s="29"/>
      <c r="B180" s="29"/>
      <c r="C180" s="29"/>
      <c r="D180" s="29"/>
      <c r="E180" s="29"/>
      <c r="F180" s="29"/>
      <c r="G180" s="29"/>
      <c r="H180" s="29"/>
      <c r="I180" s="29"/>
      <c r="J180" s="29"/>
      <c r="K180" s="29"/>
      <c r="L180" s="29"/>
      <c r="M180" s="29"/>
      <c r="N180" s="29"/>
      <c r="O180" s="29"/>
      <c r="P180" s="29"/>
      <c r="Q180" s="29"/>
      <c r="S180" s="80" t="s">
        <v>384</v>
      </c>
      <c r="T180" s="5">
        <v>0</v>
      </c>
      <c r="U180" s="5"/>
      <c r="V180" s="1"/>
    </row>
    <row r="181" spans="1:32" x14ac:dyDescent="0.25">
      <c r="A181" s="29"/>
      <c r="B181" s="29"/>
      <c r="C181" s="29"/>
      <c r="D181" s="29"/>
      <c r="E181" s="29"/>
      <c r="F181" s="29"/>
      <c r="G181" s="29"/>
      <c r="H181" s="29"/>
      <c r="I181" s="29"/>
      <c r="J181" s="29"/>
      <c r="K181" s="29"/>
      <c r="L181" s="29"/>
      <c r="M181" s="29"/>
      <c r="N181" s="29"/>
      <c r="O181" s="29"/>
      <c r="P181" s="29"/>
      <c r="Q181" s="29"/>
      <c r="S181" s="5" t="s">
        <v>196</v>
      </c>
      <c r="T181" s="5" t="s">
        <v>208</v>
      </c>
      <c r="U181" s="5" t="s">
        <v>200</v>
      </c>
    </row>
    <row r="182" spans="1:32" x14ac:dyDescent="0.25">
      <c r="A182" s="29"/>
      <c r="B182" s="29"/>
      <c r="C182" s="29"/>
      <c r="D182" s="29"/>
      <c r="E182" s="29"/>
      <c r="F182" s="29"/>
      <c r="G182" s="29"/>
      <c r="H182" s="29"/>
      <c r="I182" s="29"/>
      <c r="J182" s="29"/>
      <c r="K182" s="29"/>
      <c r="L182" s="29"/>
      <c r="M182" s="29"/>
      <c r="N182" s="29"/>
      <c r="O182" s="29"/>
      <c r="P182" s="29"/>
      <c r="Q182" s="29"/>
      <c r="S182" s="5" t="s">
        <v>201</v>
      </c>
      <c r="T182" s="5">
        <v>5</v>
      </c>
      <c r="U182" s="5" t="s">
        <v>45</v>
      </c>
      <c r="V182" s="1"/>
    </row>
    <row r="183" spans="1:32" x14ac:dyDescent="0.25">
      <c r="A183" s="29"/>
      <c r="B183" s="29"/>
      <c r="C183" s="29"/>
      <c r="D183" s="29"/>
      <c r="E183" s="29"/>
      <c r="F183" s="29"/>
      <c r="G183" s="29"/>
      <c r="H183" s="29"/>
      <c r="I183" s="29"/>
      <c r="J183" s="29"/>
      <c r="K183" s="29"/>
      <c r="L183" s="29"/>
      <c r="M183" s="29"/>
      <c r="N183" s="29"/>
      <c r="O183" s="29"/>
      <c r="P183" s="29"/>
      <c r="Q183" s="29"/>
      <c r="S183" s="5" t="s">
        <v>202</v>
      </c>
      <c r="T183" s="5">
        <v>7</v>
      </c>
      <c r="U183" s="5" t="s">
        <v>100</v>
      </c>
    </row>
    <row r="184" spans="1:32" x14ac:dyDescent="0.25">
      <c r="A184" s="29"/>
      <c r="B184" s="29"/>
      <c r="C184" s="29"/>
      <c r="D184" s="29"/>
      <c r="E184" s="29"/>
      <c r="F184" s="29"/>
      <c r="G184" s="29"/>
      <c r="H184" s="29"/>
      <c r="I184" s="29"/>
      <c r="J184" s="29"/>
      <c r="K184" s="29"/>
      <c r="L184" s="29"/>
      <c r="M184" s="29"/>
      <c r="N184" s="29"/>
      <c r="O184" s="29"/>
      <c r="P184" s="29"/>
      <c r="Q184" s="29"/>
      <c r="S184" s="5" t="s">
        <v>203</v>
      </c>
      <c r="T184" s="5">
        <v>2500</v>
      </c>
      <c r="U184" s="5" t="s">
        <v>46</v>
      </c>
    </row>
    <row r="185" spans="1:32" x14ac:dyDescent="0.25">
      <c r="A185" s="29"/>
      <c r="B185" s="29"/>
      <c r="C185" s="29"/>
      <c r="D185" s="29"/>
      <c r="E185" s="29"/>
      <c r="F185" s="29"/>
      <c r="G185" s="29"/>
      <c r="H185" s="29"/>
      <c r="I185" s="29"/>
      <c r="J185" s="29"/>
      <c r="K185" s="29"/>
      <c r="L185" s="29"/>
      <c r="M185" s="29"/>
      <c r="N185" s="29"/>
      <c r="O185" s="29"/>
      <c r="P185" s="29"/>
      <c r="Q185" s="29"/>
      <c r="S185" s="5" t="s">
        <v>204</v>
      </c>
      <c r="T185" s="5">
        <f>-T183</f>
        <v>-7</v>
      </c>
      <c r="U185" s="5" t="s">
        <v>100</v>
      </c>
    </row>
    <row r="186" spans="1:32" x14ac:dyDescent="0.25">
      <c r="A186" s="29"/>
      <c r="B186" s="29"/>
      <c r="C186" s="29"/>
      <c r="D186" s="29"/>
      <c r="E186" s="29"/>
      <c r="F186" s="29"/>
      <c r="G186" s="29"/>
      <c r="H186" s="29"/>
      <c r="I186" s="29"/>
      <c r="J186" s="29"/>
      <c r="K186" s="29"/>
      <c r="L186" s="29"/>
      <c r="M186" s="29"/>
      <c r="N186" s="29"/>
      <c r="O186" s="29"/>
      <c r="P186" s="29"/>
      <c r="Q186" s="29"/>
      <c r="S186" s="3" t="s">
        <v>205</v>
      </c>
      <c r="T186" s="3">
        <f>T184</f>
        <v>2500</v>
      </c>
      <c r="U186" s="5" t="s">
        <v>46</v>
      </c>
    </row>
    <row r="187" spans="1:32" x14ac:dyDescent="0.25">
      <c r="A187" s="29"/>
      <c r="B187" s="29"/>
      <c r="C187" s="29"/>
      <c r="D187" s="29"/>
      <c r="E187" s="29"/>
      <c r="F187" s="29"/>
      <c r="G187" s="29"/>
      <c r="H187" s="29"/>
      <c r="I187" s="29"/>
      <c r="J187" s="29"/>
      <c r="K187" s="29"/>
      <c r="L187" s="29"/>
      <c r="M187" s="29"/>
      <c r="N187" s="29"/>
      <c r="O187" s="29"/>
      <c r="P187" s="29"/>
      <c r="Q187" s="29"/>
      <c r="S187" s="3" t="s">
        <v>206</v>
      </c>
      <c r="T187" s="3">
        <v>0.2</v>
      </c>
      <c r="U187" s="5" t="s">
        <v>45</v>
      </c>
    </row>
    <row r="188" spans="1:32" x14ac:dyDescent="0.25">
      <c r="A188" s="29"/>
      <c r="B188" s="29"/>
      <c r="C188" s="29"/>
      <c r="D188" s="29"/>
      <c r="E188" s="29"/>
      <c r="F188" s="29"/>
      <c r="G188" s="29"/>
      <c r="H188" s="29"/>
      <c r="I188" s="29"/>
      <c r="J188" s="29"/>
      <c r="K188" s="29"/>
      <c r="L188" s="29"/>
      <c r="M188" s="29"/>
      <c r="N188" s="29"/>
      <c r="O188" s="29"/>
      <c r="P188" s="29"/>
      <c r="Q188" s="29"/>
      <c r="S188" s="3" t="s">
        <v>207</v>
      </c>
      <c r="T188" s="3">
        <v>7500</v>
      </c>
      <c r="U188" s="5" t="s">
        <v>46</v>
      </c>
    </row>
    <row r="189" spans="1:32" x14ac:dyDescent="0.25">
      <c r="A189" s="29"/>
      <c r="B189" s="29"/>
      <c r="C189" s="29"/>
      <c r="D189" s="29"/>
      <c r="E189" s="29"/>
      <c r="F189" s="29"/>
      <c r="G189" s="29"/>
      <c r="H189" s="29"/>
      <c r="I189" s="29"/>
      <c r="J189" s="29"/>
      <c r="K189" s="29"/>
      <c r="L189" s="29"/>
      <c r="M189" s="29"/>
      <c r="N189" s="29"/>
      <c r="O189" s="29"/>
      <c r="P189" s="29"/>
      <c r="Q189" s="29"/>
      <c r="S189" s="29"/>
      <c r="T189" s="29"/>
      <c r="U189" s="93"/>
      <c r="V189" s="29"/>
      <c r="W189" s="29"/>
      <c r="X189" s="29"/>
      <c r="Y189" s="29"/>
      <c r="Z189" s="29"/>
      <c r="AA189" s="29"/>
      <c r="AB189" s="29"/>
      <c r="AC189" s="29"/>
      <c r="AE189" s="29"/>
      <c r="AF189" s="29"/>
    </row>
    <row r="190" spans="1:32" x14ac:dyDescent="0.25">
      <c r="A190" s="29"/>
      <c r="B190" s="29"/>
      <c r="C190" s="29"/>
      <c r="D190" s="29"/>
      <c r="E190" s="29"/>
      <c r="F190" s="29"/>
      <c r="G190" s="29"/>
      <c r="H190" s="29"/>
      <c r="I190" s="29"/>
      <c r="J190" s="29"/>
      <c r="K190" s="29"/>
      <c r="L190" s="29"/>
      <c r="M190" s="29"/>
      <c r="N190" s="29"/>
      <c r="O190" s="29"/>
      <c r="P190" s="29"/>
      <c r="Q190" s="29"/>
      <c r="S190" s="98" t="s">
        <v>336</v>
      </c>
      <c r="T190" s="98" t="s">
        <v>337</v>
      </c>
      <c r="U190" s="99" t="s">
        <v>375</v>
      </c>
      <c r="V190" s="29"/>
      <c r="W190" s="29"/>
      <c r="X190" s="29"/>
      <c r="Y190" s="29"/>
      <c r="Z190" s="29"/>
      <c r="AA190" s="29"/>
      <c r="AB190" s="29"/>
      <c r="AC190" s="29"/>
      <c r="AD190" s="29"/>
      <c r="AE190" s="29"/>
      <c r="AF190" s="29"/>
    </row>
    <row r="191" spans="1:32" x14ac:dyDescent="0.25">
      <c r="S191" s="77"/>
      <c r="T191" s="77"/>
      <c r="U191" s="94"/>
    </row>
    <row r="192" spans="1:32" x14ac:dyDescent="0.25">
      <c r="S192" s="77" t="s">
        <v>315</v>
      </c>
      <c r="T192" s="77">
        <v>50</v>
      </c>
      <c r="U192" s="94" t="s">
        <v>45</v>
      </c>
    </row>
    <row r="193" spans="1:46" x14ac:dyDescent="0.25">
      <c r="S193" s="81" t="s">
        <v>316</v>
      </c>
      <c r="T193" s="81">
        <v>50</v>
      </c>
      <c r="U193" s="94" t="s">
        <v>45</v>
      </c>
    </row>
    <row r="195" spans="1:46" x14ac:dyDescent="0.25">
      <c r="A195" s="59" t="s">
        <v>171</v>
      </c>
      <c r="B195" s="2" t="s">
        <v>349</v>
      </c>
      <c r="C195" s="59" t="s">
        <v>170</v>
      </c>
      <c r="D195" s="2" t="s">
        <v>378</v>
      </c>
      <c r="E195" s="29"/>
      <c r="F195" s="29"/>
      <c r="G195" s="29"/>
      <c r="H195" s="29"/>
      <c r="I195" s="29"/>
      <c r="J195" s="29"/>
      <c r="K195" s="29"/>
      <c r="L195" s="29"/>
      <c r="M195" s="29"/>
      <c r="N195" s="29"/>
      <c r="O195" s="29"/>
      <c r="P195" s="29"/>
      <c r="AO195" t="s">
        <v>172</v>
      </c>
      <c r="AP195" t="s">
        <v>350</v>
      </c>
      <c r="AQ195" t="s">
        <v>171</v>
      </c>
      <c r="AR195" t="s">
        <v>349</v>
      </c>
      <c r="AS195" t="s">
        <v>170</v>
      </c>
      <c r="AT195" t="s">
        <v>378</v>
      </c>
    </row>
    <row r="196" spans="1:46" x14ac:dyDescent="0.25">
      <c r="A196" s="40" t="s">
        <v>0</v>
      </c>
      <c r="B196" s="41"/>
      <c r="C196" s="18"/>
      <c r="D196" s="18"/>
      <c r="E196" s="18"/>
      <c r="F196" s="18"/>
      <c r="G196" s="18"/>
      <c r="H196" s="18"/>
      <c r="I196" s="18"/>
      <c r="J196" s="18"/>
      <c r="K196" s="18"/>
      <c r="L196" s="18"/>
      <c r="M196" s="18"/>
      <c r="N196" s="18"/>
      <c r="O196" s="18"/>
      <c r="P196" s="18"/>
      <c r="Q196" s="59" t="s">
        <v>333</v>
      </c>
    </row>
    <row r="197" spans="1:46" x14ac:dyDescent="0.25">
      <c r="A197" s="20">
        <v>1</v>
      </c>
      <c r="B197" s="8" t="s">
        <v>1</v>
      </c>
      <c r="C197" s="8" t="s">
        <v>19</v>
      </c>
      <c r="D197" s="8">
        <v>20</v>
      </c>
      <c r="E197" s="8">
        <v>10</v>
      </c>
      <c r="F197" s="8">
        <v>0</v>
      </c>
      <c r="G197" s="8">
        <v>30</v>
      </c>
      <c r="H197" s="8">
        <v>10</v>
      </c>
      <c r="I197" s="8">
        <v>0</v>
      </c>
      <c r="J197" s="8" t="s">
        <v>20</v>
      </c>
      <c r="K197" s="8">
        <v>0.6</v>
      </c>
      <c r="L197" s="8">
        <v>0.2</v>
      </c>
      <c r="M197" s="8"/>
      <c r="N197" s="8"/>
      <c r="O197" s="8"/>
      <c r="P197" s="8"/>
      <c r="Q197" s="9" t="s">
        <v>346</v>
      </c>
      <c r="S197" s="97" t="s">
        <v>41</v>
      </c>
      <c r="T197" s="3"/>
      <c r="U197" s="5"/>
    </row>
    <row r="198" spans="1:46" x14ac:dyDescent="0.25">
      <c r="A198" s="20">
        <v>2</v>
      </c>
      <c r="B198" s="8" t="s">
        <v>9</v>
      </c>
      <c r="C198" s="8" t="s">
        <v>126</v>
      </c>
      <c r="D198" s="8" t="s">
        <v>126</v>
      </c>
      <c r="E198" s="8" t="s">
        <v>142</v>
      </c>
      <c r="F198" s="8" t="s">
        <v>132</v>
      </c>
      <c r="G198" s="8">
        <v>0</v>
      </c>
      <c r="H198" s="8" t="s">
        <v>21</v>
      </c>
      <c r="I198" s="8">
        <v>0.6</v>
      </c>
      <c r="J198" s="8">
        <v>0.2</v>
      </c>
      <c r="K198" s="8"/>
      <c r="L198" s="8"/>
      <c r="M198" s="8"/>
      <c r="N198" s="8"/>
      <c r="O198" s="8"/>
      <c r="P198" s="8"/>
      <c r="Q198" s="9" t="s">
        <v>346</v>
      </c>
      <c r="S198" s="5" t="s">
        <v>124</v>
      </c>
      <c r="T198" s="5">
        <v>0.2</v>
      </c>
      <c r="U198" s="5" t="s">
        <v>45</v>
      </c>
    </row>
    <row r="199" spans="1:46" x14ac:dyDescent="0.25">
      <c r="A199" s="20">
        <v>3</v>
      </c>
      <c r="B199" s="8" t="s">
        <v>1</v>
      </c>
      <c r="C199" s="8" t="s">
        <v>19</v>
      </c>
      <c r="D199" s="8" t="s">
        <v>126</v>
      </c>
      <c r="E199" s="8" t="s">
        <v>126</v>
      </c>
      <c r="F199" s="8" t="s">
        <v>126</v>
      </c>
      <c r="G199" s="8">
        <v>40</v>
      </c>
      <c r="H199" s="8">
        <v>50</v>
      </c>
      <c r="I199" s="8">
        <v>0</v>
      </c>
      <c r="J199" s="8" t="s">
        <v>20</v>
      </c>
      <c r="K199" s="8">
        <v>0.6</v>
      </c>
      <c r="L199" s="8">
        <v>0.2</v>
      </c>
      <c r="M199" s="8"/>
      <c r="N199" s="8"/>
      <c r="O199" s="8"/>
      <c r="P199" s="8"/>
      <c r="Q199" s="9" t="s">
        <v>346</v>
      </c>
      <c r="S199" s="5" t="s">
        <v>97</v>
      </c>
      <c r="T199" s="5">
        <v>1</v>
      </c>
      <c r="U199" s="5" t="s">
        <v>99</v>
      </c>
    </row>
    <row r="200" spans="1:46" x14ac:dyDescent="0.25">
      <c r="A200" s="20">
        <v>4</v>
      </c>
      <c r="B200" s="43" t="s">
        <v>73</v>
      </c>
      <c r="C200" s="43">
        <v>50</v>
      </c>
      <c r="D200" s="43">
        <v>50</v>
      </c>
      <c r="E200" s="43">
        <v>0</v>
      </c>
      <c r="F200" s="43">
        <v>10</v>
      </c>
      <c r="G200" s="43">
        <v>180</v>
      </c>
      <c r="H200" s="43" t="s">
        <v>21</v>
      </c>
      <c r="I200" s="43" t="e">
        <f>Sides</f>
        <v>#NAME?</v>
      </c>
      <c r="J200" s="43">
        <v>0.6</v>
      </c>
      <c r="K200" s="43">
        <v>0.2</v>
      </c>
      <c r="L200" s="43"/>
      <c r="M200" s="43"/>
      <c r="N200" s="43"/>
      <c r="O200" s="43"/>
      <c r="P200" s="43"/>
      <c r="Q200" s="43" t="s">
        <v>340</v>
      </c>
      <c r="S200" s="5" t="s">
        <v>98</v>
      </c>
      <c r="T200" s="5">
        <v>1</v>
      </c>
      <c r="U200" s="5" t="s">
        <v>99</v>
      </c>
    </row>
    <row r="201" spans="1:46" x14ac:dyDescent="0.25">
      <c r="A201" s="20">
        <v>5</v>
      </c>
      <c r="B201" s="27" t="s">
        <v>57</v>
      </c>
      <c r="C201" s="27">
        <v>4</v>
      </c>
      <c r="D201" s="27">
        <v>0</v>
      </c>
      <c r="E201" s="27">
        <v>0</v>
      </c>
      <c r="F201" s="27">
        <v>0.2</v>
      </c>
      <c r="G201" s="27" t="e">
        <f>Layers</f>
        <v>#NAME?</v>
      </c>
      <c r="H201" s="27"/>
      <c r="I201" s="27"/>
      <c r="J201" s="27"/>
      <c r="K201" s="27"/>
      <c r="L201" s="27"/>
      <c r="M201" s="27"/>
      <c r="N201" s="27"/>
      <c r="O201" s="27"/>
      <c r="P201" s="27"/>
      <c r="Q201" s="27" t="s">
        <v>341</v>
      </c>
      <c r="S201" s="5" t="s">
        <v>236</v>
      </c>
      <c r="T201" s="5" t="s">
        <v>247</v>
      </c>
      <c r="U201" s="5"/>
    </row>
    <row r="202" spans="1:46" x14ac:dyDescent="0.25">
      <c r="A202" s="20">
        <v>6</v>
      </c>
      <c r="B202" s="42" t="s">
        <v>54</v>
      </c>
      <c r="C202" s="42">
        <v>5</v>
      </c>
      <c r="D202" s="42">
        <v>4</v>
      </c>
      <c r="E202" s="42">
        <v>1</v>
      </c>
      <c r="F202" s="42" t="e">
        <f>Layers</f>
        <v>#NAME?</v>
      </c>
      <c r="G202" s="42" t="s">
        <v>180</v>
      </c>
      <c r="H202" s="42">
        <v>0</v>
      </c>
      <c r="I202" s="47" t="s">
        <v>140</v>
      </c>
      <c r="J202" s="47" t="s">
        <v>182</v>
      </c>
      <c r="K202" s="42" t="s">
        <v>145</v>
      </c>
      <c r="L202" s="42" t="s">
        <v>145</v>
      </c>
      <c r="M202" s="42"/>
      <c r="N202" s="42"/>
      <c r="O202" s="42"/>
      <c r="P202" s="42"/>
      <c r="Q202" s="4" t="s">
        <v>373</v>
      </c>
      <c r="S202" s="5" t="s">
        <v>237</v>
      </c>
      <c r="T202" s="5">
        <v>0</v>
      </c>
      <c r="U202" s="5"/>
    </row>
    <row r="203" spans="1:46" x14ac:dyDescent="0.25">
      <c r="A203" s="20">
        <v>7</v>
      </c>
      <c r="B203" s="121" t="s">
        <v>338</v>
      </c>
      <c r="C203" s="42" t="s">
        <v>167</v>
      </c>
      <c r="D203" s="42" t="s">
        <v>213</v>
      </c>
      <c r="E203" s="42">
        <f>C200</f>
        <v>50</v>
      </c>
      <c r="F203" s="42">
        <f>D200</f>
        <v>50</v>
      </c>
      <c r="G203" s="42">
        <v>0</v>
      </c>
      <c r="H203" s="42">
        <v>0</v>
      </c>
      <c r="I203" s="42" t="s">
        <v>304</v>
      </c>
      <c r="J203" s="42" t="s">
        <v>145</v>
      </c>
      <c r="K203" s="42" t="s">
        <v>145</v>
      </c>
      <c r="L203" s="42"/>
      <c r="M203" s="42"/>
      <c r="N203" s="42"/>
      <c r="O203" s="42"/>
      <c r="P203" s="42"/>
      <c r="Q203" s="4" t="s">
        <v>373</v>
      </c>
      <c r="S203" s="58"/>
      <c r="T203" s="58"/>
      <c r="U203" s="92"/>
    </row>
    <row r="204" spans="1:46" x14ac:dyDescent="0.25">
      <c r="A204" s="20">
        <v>8</v>
      </c>
      <c r="B204" s="20"/>
      <c r="C204" s="20"/>
      <c r="D204" s="20"/>
      <c r="E204" s="20"/>
      <c r="F204" s="20"/>
      <c r="G204" s="20"/>
      <c r="H204" s="20"/>
      <c r="I204" s="20"/>
      <c r="J204" s="20"/>
      <c r="K204" s="20"/>
      <c r="L204" s="20"/>
      <c r="M204" s="20"/>
      <c r="N204" s="20"/>
      <c r="O204" s="20"/>
      <c r="P204" s="20"/>
      <c r="Q204" s="20"/>
      <c r="S204" s="5" t="s">
        <v>383</v>
      </c>
      <c r="T204" s="5">
        <v>60</v>
      </c>
      <c r="U204" s="5" t="s">
        <v>44</v>
      </c>
      <c r="V204" s="1"/>
    </row>
    <row r="205" spans="1:46" x14ac:dyDescent="0.25">
      <c r="A205" s="20">
        <v>9</v>
      </c>
      <c r="B205" s="20"/>
      <c r="C205" s="21" t="s">
        <v>372</v>
      </c>
      <c r="D205" s="21"/>
      <c r="E205" s="21"/>
      <c r="F205" s="21"/>
      <c r="G205" s="21"/>
      <c r="H205" s="21"/>
      <c r="I205" s="21"/>
      <c r="J205" s="20"/>
      <c r="K205" s="20"/>
      <c r="L205" s="20"/>
      <c r="M205" s="20"/>
      <c r="N205" s="20"/>
      <c r="O205" s="20"/>
      <c r="P205" s="20"/>
      <c r="Q205" s="20"/>
      <c r="S205" s="5" t="s">
        <v>95</v>
      </c>
      <c r="T205" s="5">
        <v>1000</v>
      </c>
      <c r="U205" s="5" t="s">
        <v>46</v>
      </c>
    </row>
    <row r="206" spans="1:46" x14ac:dyDescent="0.25">
      <c r="A206" s="20">
        <v>10</v>
      </c>
      <c r="B206" s="20"/>
      <c r="C206" s="20"/>
      <c r="D206" s="20"/>
      <c r="E206" s="20"/>
      <c r="F206" s="20"/>
      <c r="G206" s="20"/>
      <c r="H206" s="20"/>
      <c r="I206" s="20"/>
      <c r="J206" s="20"/>
      <c r="K206" s="20"/>
      <c r="L206" s="20"/>
      <c r="M206" s="20"/>
      <c r="N206" s="20"/>
      <c r="O206" s="20"/>
      <c r="P206" s="20"/>
      <c r="Q206" s="20"/>
      <c r="S206" s="5" t="s">
        <v>96</v>
      </c>
      <c r="T206" s="5">
        <v>9000</v>
      </c>
      <c r="U206" s="5" t="s">
        <v>46</v>
      </c>
    </row>
    <row r="207" spans="1:46" x14ac:dyDescent="0.25">
      <c r="A207" s="20">
        <v>11</v>
      </c>
      <c r="B207" s="20"/>
      <c r="C207" s="20"/>
      <c r="D207" s="20"/>
      <c r="E207" s="20"/>
      <c r="F207" s="20"/>
      <c r="G207" s="20"/>
      <c r="H207" s="20"/>
      <c r="I207" s="20"/>
      <c r="J207" s="20"/>
      <c r="K207" s="20"/>
      <c r="L207" s="20"/>
      <c r="M207" s="20"/>
      <c r="N207" s="20"/>
      <c r="O207" s="20"/>
      <c r="P207" s="20"/>
      <c r="Q207" s="20"/>
      <c r="S207" s="5" t="s">
        <v>42</v>
      </c>
      <c r="T207" s="5">
        <v>210</v>
      </c>
      <c r="U207" s="5" t="s">
        <v>44</v>
      </c>
      <c r="V207" s="1"/>
    </row>
    <row r="208" spans="1:46" x14ac:dyDescent="0.25">
      <c r="A208" s="29"/>
      <c r="B208" s="29"/>
      <c r="C208" s="29"/>
      <c r="D208" s="29"/>
      <c r="E208" s="29"/>
      <c r="F208" s="29"/>
      <c r="G208" s="29"/>
      <c r="H208" s="29"/>
      <c r="I208" s="29"/>
      <c r="J208" s="29"/>
      <c r="K208" s="29"/>
      <c r="L208" s="29"/>
      <c r="M208" s="29"/>
      <c r="N208" s="29"/>
      <c r="O208" s="29"/>
      <c r="P208" s="29"/>
      <c r="Q208" s="29"/>
      <c r="S208" s="5" t="s">
        <v>43</v>
      </c>
      <c r="T208" s="5">
        <v>2.85</v>
      </c>
      <c r="U208" s="5" t="s">
        <v>45</v>
      </c>
    </row>
    <row r="209" spans="1:32" x14ac:dyDescent="0.25">
      <c r="A209" s="29"/>
      <c r="B209" s="29"/>
      <c r="C209" s="29"/>
      <c r="D209" s="29"/>
      <c r="E209" s="29"/>
      <c r="F209" s="29"/>
      <c r="G209" s="29"/>
      <c r="H209" s="29"/>
      <c r="I209" s="29"/>
      <c r="J209" s="29"/>
      <c r="K209" s="29"/>
      <c r="L209" s="29"/>
      <c r="M209" s="29"/>
      <c r="N209" s="29"/>
      <c r="O209" s="29"/>
      <c r="P209" s="29"/>
      <c r="Q209" s="29"/>
      <c r="S209" s="5" t="s">
        <v>47</v>
      </c>
      <c r="T209" s="5" t="s">
        <v>91</v>
      </c>
      <c r="U209" s="5" t="s">
        <v>100</v>
      </c>
    </row>
    <row r="210" spans="1:32" x14ac:dyDescent="0.25">
      <c r="A210" s="29"/>
      <c r="B210" s="29"/>
      <c r="C210" s="29"/>
      <c r="D210" s="29"/>
      <c r="E210" s="29"/>
      <c r="F210" s="29"/>
      <c r="G210" s="29"/>
      <c r="H210" s="29"/>
      <c r="I210" s="29"/>
      <c r="J210" s="29"/>
      <c r="K210" s="29"/>
      <c r="L210" s="29"/>
      <c r="M210" s="29"/>
      <c r="N210" s="29"/>
      <c r="O210" s="29"/>
      <c r="P210" s="29"/>
      <c r="Q210" s="29"/>
      <c r="S210" s="5" t="s">
        <v>134</v>
      </c>
      <c r="T210" s="5" t="s">
        <v>195</v>
      </c>
      <c r="U210" s="5"/>
    </row>
    <row r="211" spans="1:32" x14ac:dyDescent="0.25">
      <c r="A211" s="29"/>
      <c r="B211" s="29"/>
      <c r="C211" s="29"/>
      <c r="D211" s="29"/>
      <c r="E211" s="29"/>
      <c r="F211" s="29"/>
      <c r="G211" s="29"/>
      <c r="H211" s="29"/>
      <c r="I211" s="29"/>
      <c r="J211" s="29"/>
      <c r="K211" s="29"/>
      <c r="L211" s="29"/>
      <c r="M211" s="29"/>
      <c r="N211" s="29"/>
      <c r="O211" s="29"/>
      <c r="P211" s="29"/>
      <c r="Q211" s="29"/>
      <c r="S211" s="5" t="s">
        <v>194</v>
      </c>
      <c r="T211" s="5" t="s">
        <v>165</v>
      </c>
      <c r="U211" s="5"/>
    </row>
    <row r="212" spans="1:32" x14ac:dyDescent="0.25">
      <c r="A212" s="29"/>
      <c r="B212" s="29"/>
      <c r="C212" s="29"/>
      <c r="D212" s="29"/>
      <c r="E212" s="29"/>
      <c r="F212" s="29"/>
      <c r="G212" s="29"/>
      <c r="H212" s="29"/>
      <c r="I212" s="29"/>
      <c r="J212" s="29"/>
      <c r="K212" s="29"/>
      <c r="L212" s="29"/>
      <c r="M212" s="29"/>
      <c r="N212" s="29"/>
      <c r="O212" s="29"/>
      <c r="P212" s="29"/>
      <c r="Q212" s="29"/>
      <c r="S212" s="5" t="s">
        <v>209</v>
      </c>
      <c r="T212" s="5">
        <v>20</v>
      </c>
      <c r="U212" s="5" t="s">
        <v>45</v>
      </c>
    </row>
    <row r="213" spans="1:32" x14ac:dyDescent="0.25">
      <c r="A213" s="29"/>
      <c r="B213" s="29"/>
      <c r="C213" s="29"/>
      <c r="D213" s="29"/>
      <c r="E213" s="29"/>
      <c r="F213" s="29"/>
      <c r="G213" s="29"/>
      <c r="H213" s="29"/>
      <c r="I213" s="29"/>
      <c r="J213" s="29"/>
      <c r="K213" s="29"/>
      <c r="L213" s="29"/>
      <c r="M213" s="29"/>
      <c r="N213" s="29"/>
      <c r="O213" s="29"/>
      <c r="P213" s="29"/>
      <c r="Q213" s="29"/>
      <c r="S213" s="5" t="s">
        <v>210</v>
      </c>
      <c r="T213" s="5">
        <v>10</v>
      </c>
      <c r="U213" s="5" t="s">
        <v>45</v>
      </c>
    </row>
    <row r="214" spans="1:32" x14ac:dyDescent="0.25">
      <c r="A214" s="29"/>
      <c r="B214" s="29"/>
      <c r="C214" s="29"/>
      <c r="D214" s="29"/>
      <c r="E214" s="29"/>
      <c r="F214" s="29"/>
      <c r="G214" s="29"/>
      <c r="H214" s="29"/>
      <c r="I214" s="29"/>
      <c r="J214" s="29"/>
      <c r="K214" s="29"/>
      <c r="L214" s="29"/>
      <c r="M214" s="29"/>
      <c r="N214" s="29"/>
      <c r="O214" s="29"/>
      <c r="P214" s="29"/>
      <c r="Q214" s="29"/>
      <c r="S214" s="5" t="s">
        <v>211</v>
      </c>
      <c r="T214" s="5">
        <v>0.3</v>
      </c>
      <c r="U214" s="5" t="s">
        <v>45</v>
      </c>
    </row>
    <row r="215" spans="1:32" x14ac:dyDescent="0.25">
      <c r="A215" s="29"/>
      <c r="B215" s="29"/>
      <c r="C215" s="29"/>
      <c r="D215" s="29"/>
      <c r="E215" s="29"/>
      <c r="F215" s="29"/>
      <c r="G215" s="29"/>
      <c r="H215" s="29"/>
      <c r="I215" s="29"/>
      <c r="J215" s="29"/>
      <c r="K215" s="29"/>
      <c r="L215" s="29"/>
      <c r="M215" s="29"/>
      <c r="N215" s="29"/>
      <c r="O215" s="29"/>
      <c r="P215" s="29"/>
      <c r="Q215" s="29"/>
      <c r="S215" s="80" t="s">
        <v>384</v>
      </c>
      <c r="T215" s="5">
        <v>0</v>
      </c>
      <c r="U215" s="5"/>
      <c r="V215" s="1"/>
    </row>
    <row r="216" spans="1:32" x14ac:dyDescent="0.25">
      <c r="A216" s="29"/>
      <c r="B216" s="29"/>
      <c r="C216" s="29"/>
      <c r="D216" s="29"/>
      <c r="E216" s="29"/>
      <c r="F216" s="29"/>
      <c r="G216" s="29"/>
      <c r="H216" s="29"/>
      <c r="I216" s="29"/>
      <c r="J216" s="29"/>
      <c r="K216" s="29"/>
      <c r="L216" s="29"/>
      <c r="M216" s="29"/>
      <c r="N216" s="29"/>
      <c r="O216" s="29"/>
      <c r="P216" s="29"/>
      <c r="Q216" s="29"/>
      <c r="S216" s="5" t="s">
        <v>196</v>
      </c>
      <c r="T216" s="5" t="s">
        <v>208</v>
      </c>
      <c r="U216" s="5" t="s">
        <v>200</v>
      </c>
    </row>
    <row r="217" spans="1:32" x14ac:dyDescent="0.25">
      <c r="A217" s="29"/>
      <c r="B217" s="29"/>
      <c r="C217" s="29"/>
      <c r="D217" s="29"/>
      <c r="E217" s="29"/>
      <c r="F217" s="29"/>
      <c r="G217" s="29"/>
      <c r="H217" s="29"/>
      <c r="I217" s="29"/>
      <c r="J217" s="29"/>
      <c r="K217" s="29"/>
      <c r="L217" s="29"/>
      <c r="M217" s="29"/>
      <c r="N217" s="29"/>
      <c r="O217" s="29"/>
      <c r="P217" s="29"/>
      <c r="Q217" s="29"/>
      <c r="S217" s="5" t="s">
        <v>201</v>
      </c>
      <c r="T217" s="5">
        <v>5</v>
      </c>
      <c r="U217" s="5" t="s">
        <v>45</v>
      </c>
      <c r="V217" s="1"/>
    </row>
    <row r="218" spans="1:32" x14ac:dyDescent="0.25">
      <c r="A218" s="29"/>
      <c r="B218" s="29"/>
      <c r="C218" s="29"/>
      <c r="D218" s="29"/>
      <c r="E218" s="29"/>
      <c r="F218" s="29"/>
      <c r="G218" s="29"/>
      <c r="H218" s="29"/>
      <c r="I218" s="29"/>
      <c r="J218" s="29"/>
      <c r="K218" s="29"/>
      <c r="L218" s="29"/>
      <c r="M218" s="29"/>
      <c r="N218" s="29"/>
      <c r="O218" s="29"/>
      <c r="P218" s="29"/>
      <c r="Q218" s="29"/>
      <c r="S218" s="5" t="s">
        <v>202</v>
      </c>
      <c r="T218" s="5">
        <v>7</v>
      </c>
      <c r="U218" s="5" t="s">
        <v>100</v>
      </c>
    </row>
    <row r="219" spans="1:32" x14ac:dyDescent="0.25">
      <c r="A219" s="29"/>
      <c r="B219" s="29"/>
      <c r="C219" s="29"/>
      <c r="D219" s="29"/>
      <c r="E219" s="29"/>
      <c r="F219" s="29"/>
      <c r="G219" s="29"/>
      <c r="H219" s="29"/>
      <c r="I219" s="29"/>
      <c r="J219" s="29"/>
      <c r="K219" s="29"/>
      <c r="L219" s="29"/>
      <c r="M219" s="29"/>
      <c r="N219" s="29"/>
      <c r="O219" s="29"/>
      <c r="P219" s="29"/>
      <c r="Q219" s="29"/>
      <c r="S219" s="5" t="s">
        <v>203</v>
      </c>
      <c r="T219" s="5">
        <v>2500</v>
      </c>
      <c r="U219" s="5" t="s">
        <v>46</v>
      </c>
    </row>
    <row r="220" spans="1:32" x14ac:dyDescent="0.25">
      <c r="A220" s="29"/>
      <c r="B220" s="29"/>
      <c r="C220" s="29"/>
      <c r="D220" s="29"/>
      <c r="E220" s="29"/>
      <c r="F220" s="29"/>
      <c r="G220" s="29"/>
      <c r="H220" s="29"/>
      <c r="I220" s="29"/>
      <c r="J220" s="29"/>
      <c r="K220" s="29"/>
      <c r="L220" s="29"/>
      <c r="M220" s="29"/>
      <c r="N220" s="29"/>
      <c r="O220" s="29"/>
      <c r="P220" s="29"/>
      <c r="Q220" s="29"/>
      <c r="S220" s="5" t="s">
        <v>204</v>
      </c>
      <c r="T220" s="5">
        <f>-T218</f>
        <v>-7</v>
      </c>
      <c r="U220" s="5" t="s">
        <v>100</v>
      </c>
    </row>
    <row r="221" spans="1:32" x14ac:dyDescent="0.25">
      <c r="A221" s="29"/>
      <c r="B221" s="29"/>
      <c r="C221" s="29"/>
      <c r="D221" s="29"/>
      <c r="E221" s="29"/>
      <c r="F221" s="29"/>
      <c r="G221" s="29"/>
      <c r="H221" s="29"/>
      <c r="I221" s="29"/>
      <c r="J221" s="29"/>
      <c r="K221" s="29"/>
      <c r="L221" s="29"/>
      <c r="M221" s="29"/>
      <c r="N221" s="29"/>
      <c r="O221" s="29"/>
      <c r="P221" s="29"/>
      <c r="Q221" s="29"/>
      <c r="S221" s="3" t="s">
        <v>205</v>
      </c>
      <c r="T221" s="3">
        <f>T219</f>
        <v>2500</v>
      </c>
      <c r="U221" s="5" t="s">
        <v>46</v>
      </c>
    </row>
    <row r="222" spans="1:32" x14ac:dyDescent="0.25">
      <c r="A222" s="29"/>
      <c r="B222" s="29"/>
      <c r="C222" s="29"/>
      <c r="D222" s="29"/>
      <c r="E222" s="29"/>
      <c r="F222" s="29"/>
      <c r="G222" s="29"/>
      <c r="H222" s="29"/>
      <c r="I222" s="29"/>
      <c r="J222" s="29"/>
      <c r="K222" s="29"/>
      <c r="L222" s="29"/>
      <c r="M222" s="29"/>
      <c r="N222" s="29"/>
      <c r="O222" s="29"/>
      <c r="P222" s="29"/>
      <c r="Q222" s="29"/>
      <c r="S222" s="3" t="s">
        <v>206</v>
      </c>
      <c r="T222" s="3">
        <v>0.2</v>
      </c>
      <c r="U222" s="5" t="s">
        <v>45</v>
      </c>
    </row>
    <row r="223" spans="1:32" x14ac:dyDescent="0.25">
      <c r="A223" s="29"/>
      <c r="B223" s="29"/>
      <c r="C223" s="29"/>
      <c r="D223" s="29"/>
      <c r="E223" s="29"/>
      <c r="F223" s="29"/>
      <c r="G223" s="29"/>
      <c r="H223" s="29"/>
      <c r="I223" s="29"/>
      <c r="J223" s="29"/>
      <c r="K223" s="29"/>
      <c r="L223" s="29"/>
      <c r="M223" s="29"/>
      <c r="N223" s="29"/>
      <c r="O223" s="29"/>
      <c r="P223" s="29"/>
      <c r="Q223" s="29"/>
      <c r="S223" s="3" t="s">
        <v>207</v>
      </c>
      <c r="T223" s="3">
        <v>7500</v>
      </c>
      <c r="U223" s="5" t="s">
        <v>46</v>
      </c>
    </row>
    <row r="224" spans="1:32" x14ac:dyDescent="0.25">
      <c r="A224" s="29"/>
      <c r="B224" s="29"/>
      <c r="C224" s="29"/>
      <c r="D224" s="29"/>
      <c r="E224" s="29"/>
      <c r="F224" s="29"/>
      <c r="G224" s="29"/>
      <c r="H224" s="29"/>
      <c r="I224" s="29"/>
      <c r="J224" s="29"/>
      <c r="K224" s="29"/>
      <c r="L224" s="29"/>
      <c r="M224" s="29"/>
      <c r="N224" s="29"/>
      <c r="O224" s="29"/>
      <c r="P224" s="29"/>
      <c r="Q224" s="29"/>
      <c r="S224" s="29"/>
      <c r="T224" s="29"/>
      <c r="U224" s="93"/>
      <c r="V224" s="29"/>
      <c r="W224" s="29"/>
      <c r="X224" s="29"/>
      <c r="Y224" s="29"/>
      <c r="Z224" s="29"/>
      <c r="AA224" s="29"/>
      <c r="AB224" s="29"/>
      <c r="AC224" s="29"/>
      <c r="AE224" s="29"/>
      <c r="AF224" s="29"/>
    </row>
    <row r="225" spans="1:46" x14ac:dyDescent="0.25">
      <c r="A225" s="29"/>
      <c r="B225" s="29"/>
      <c r="C225" s="29"/>
      <c r="D225" s="29"/>
      <c r="E225" s="29"/>
      <c r="F225" s="29"/>
      <c r="G225" s="29"/>
      <c r="H225" s="29"/>
      <c r="I225" s="29"/>
      <c r="J225" s="29"/>
      <c r="K225" s="29"/>
      <c r="L225" s="29"/>
      <c r="M225" s="29"/>
      <c r="N225" s="29"/>
      <c r="O225" s="29"/>
      <c r="P225" s="29"/>
      <c r="Q225" s="29"/>
      <c r="S225" s="98" t="s">
        <v>336</v>
      </c>
      <c r="T225" s="98" t="s">
        <v>337</v>
      </c>
      <c r="U225" s="99" t="s">
        <v>375</v>
      </c>
      <c r="V225" s="29"/>
      <c r="W225" s="29"/>
      <c r="X225" s="29"/>
      <c r="Y225" s="29"/>
      <c r="Z225" s="29"/>
      <c r="AA225" s="29"/>
      <c r="AB225" s="29"/>
      <c r="AC225" s="29"/>
      <c r="AD225" s="29"/>
      <c r="AE225" s="29"/>
      <c r="AF225" s="29"/>
    </row>
    <row r="226" spans="1:46" x14ac:dyDescent="0.25">
      <c r="A226" s="29"/>
      <c r="B226" s="29"/>
      <c r="C226" s="29"/>
      <c r="D226" s="29"/>
      <c r="E226" s="29"/>
      <c r="F226" s="29"/>
      <c r="G226" s="29"/>
      <c r="H226" s="29"/>
      <c r="I226" s="29"/>
      <c r="J226" s="29"/>
      <c r="K226" s="29"/>
      <c r="L226" s="29"/>
      <c r="M226" s="29"/>
      <c r="N226" s="29"/>
      <c r="O226" s="29"/>
      <c r="P226" s="29"/>
      <c r="Q226" s="29"/>
      <c r="R226" s="29"/>
      <c r="S226" s="77"/>
      <c r="T226" s="77"/>
      <c r="U226" s="94"/>
      <c r="V226" s="29"/>
      <c r="W226" s="29"/>
      <c r="X226" s="29"/>
      <c r="Y226" s="29"/>
      <c r="Z226" s="29"/>
      <c r="AA226" s="29"/>
      <c r="AB226" s="29"/>
      <c r="AC226" s="29"/>
      <c r="AD226" s="29"/>
      <c r="AE226" s="29"/>
      <c r="AF226" s="29"/>
      <c r="AG226" s="29"/>
      <c r="AH226" s="29"/>
      <c r="AI226" s="29"/>
      <c r="AJ226" s="29"/>
      <c r="AK226" s="29"/>
      <c r="AL226" s="29"/>
      <c r="AM226" s="29"/>
      <c r="AN226" s="29"/>
    </row>
    <row r="227" spans="1:46" x14ac:dyDescent="0.25">
      <c r="A227" s="29"/>
      <c r="B227" s="29"/>
      <c r="C227" s="29"/>
      <c r="D227" s="29"/>
      <c r="E227" s="29"/>
      <c r="F227" s="29"/>
      <c r="G227" s="29"/>
      <c r="H227" s="29"/>
      <c r="I227" s="29"/>
      <c r="J227" s="29"/>
      <c r="K227" s="29"/>
      <c r="L227" s="29"/>
      <c r="M227" s="29"/>
      <c r="N227" s="29"/>
      <c r="O227" s="29"/>
      <c r="P227" s="29"/>
      <c r="Q227" s="29"/>
      <c r="R227" s="29"/>
      <c r="S227" s="77" t="s">
        <v>339</v>
      </c>
      <c r="T227" s="77">
        <v>12</v>
      </c>
      <c r="U227" s="94" t="s">
        <v>99</v>
      </c>
      <c r="V227" s="29"/>
      <c r="W227" s="29"/>
      <c r="X227" s="29"/>
      <c r="Y227" s="29"/>
      <c r="Z227" s="29"/>
      <c r="AA227" s="29"/>
      <c r="AB227" s="29"/>
      <c r="AC227" s="29"/>
      <c r="AD227" s="29"/>
      <c r="AE227" s="29"/>
      <c r="AF227" s="29"/>
      <c r="AG227" s="29"/>
      <c r="AH227" s="29"/>
      <c r="AI227" s="29"/>
      <c r="AJ227" s="29"/>
      <c r="AK227" s="29"/>
      <c r="AL227" s="29"/>
      <c r="AM227" s="29"/>
      <c r="AN227" s="29"/>
    </row>
    <row r="228" spans="1:46" x14ac:dyDescent="0.25">
      <c r="A228" s="29"/>
      <c r="B228" s="29"/>
      <c r="C228" s="29"/>
      <c r="D228" s="29"/>
      <c r="E228" s="29"/>
      <c r="F228" s="29"/>
      <c r="G228" s="29"/>
      <c r="H228" s="29"/>
      <c r="I228" s="29"/>
      <c r="J228" s="29"/>
      <c r="K228" s="29"/>
      <c r="L228" s="29"/>
      <c r="M228" s="29"/>
      <c r="N228" s="29"/>
      <c r="O228" s="29"/>
      <c r="P228" s="29"/>
      <c r="Q228" s="29"/>
      <c r="R228" s="29"/>
      <c r="S228" s="77" t="s">
        <v>342</v>
      </c>
      <c r="T228" s="77">
        <v>100</v>
      </c>
      <c r="U228" s="94" t="s">
        <v>99</v>
      </c>
      <c r="V228" s="29"/>
      <c r="W228" s="29"/>
      <c r="X228" s="29"/>
      <c r="Y228" s="29"/>
      <c r="Z228" s="29"/>
      <c r="AA228" s="29"/>
      <c r="AB228" s="29"/>
      <c r="AC228" s="29"/>
      <c r="AD228" s="29"/>
      <c r="AE228" s="29"/>
      <c r="AF228" s="29"/>
      <c r="AG228" s="29"/>
      <c r="AH228" s="29"/>
      <c r="AI228" s="29"/>
      <c r="AJ228" s="29"/>
      <c r="AK228" s="29"/>
      <c r="AL228" s="29"/>
      <c r="AM228" s="29"/>
      <c r="AN228" s="29"/>
    </row>
    <row r="230" spans="1:46" x14ac:dyDescent="0.25">
      <c r="A230" s="59" t="s">
        <v>171</v>
      </c>
      <c r="B230" s="2" t="s">
        <v>433</v>
      </c>
      <c r="C230" s="59" t="s">
        <v>170</v>
      </c>
      <c r="D230" s="2" t="s">
        <v>378</v>
      </c>
      <c r="E230" s="29"/>
      <c r="F230" s="29"/>
      <c r="G230" s="29"/>
      <c r="H230" s="29"/>
      <c r="I230" s="29"/>
      <c r="J230" s="29"/>
      <c r="K230" s="29"/>
      <c r="L230" s="29"/>
      <c r="M230" s="29"/>
      <c r="N230" s="29"/>
      <c r="O230" s="29"/>
      <c r="P230" s="29"/>
      <c r="AO230" t="s">
        <v>172</v>
      </c>
      <c r="AP230" t="s">
        <v>434</v>
      </c>
      <c r="AQ230" t="s">
        <v>171</v>
      </c>
      <c r="AR230" t="s">
        <v>433</v>
      </c>
      <c r="AS230" t="s">
        <v>170</v>
      </c>
      <c r="AT230" t="s">
        <v>378</v>
      </c>
    </row>
    <row r="231" spans="1:46" x14ac:dyDescent="0.25">
      <c r="A231" s="40" t="s">
        <v>0</v>
      </c>
      <c r="B231" s="41"/>
      <c r="C231" s="18"/>
      <c r="D231" s="18"/>
      <c r="E231" s="18"/>
      <c r="F231" s="18"/>
      <c r="G231" s="18"/>
      <c r="H231" s="18"/>
      <c r="I231" s="18"/>
      <c r="J231" s="18"/>
      <c r="K231" s="18"/>
      <c r="L231" s="18"/>
      <c r="M231" s="18"/>
      <c r="N231" s="18"/>
      <c r="O231" s="18"/>
      <c r="P231" s="18"/>
      <c r="Q231" s="59" t="s">
        <v>333</v>
      </c>
    </row>
    <row r="232" spans="1:46" x14ac:dyDescent="0.25">
      <c r="A232" s="20">
        <v>1</v>
      </c>
      <c r="B232" s="20"/>
      <c r="C232" s="20"/>
      <c r="D232" s="20"/>
      <c r="E232" s="20"/>
      <c r="F232" s="20"/>
      <c r="G232" s="20"/>
      <c r="H232" s="20"/>
      <c r="I232" s="20"/>
      <c r="J232" s="20"/>
      <c r="K232" s="20"/>
      <c r="L232" s="20"/>
      <c r="M232" s="20"/>
      <c r="N232" s="20"/>
      <c r="O232" s="20"/>
      <c r="P232" s="20"/>
      <c r="Q232" s="20"/>
      <c r="S232" s="97" t="s">
        <v>41</v>
      </c>
      <c r="T232" s="3"/>
      <c r="U232" s="5"/>
    </row>
    <row r="233" spans="1:46" x14ac:dyDescent="0.25">
      <c r="A233" s="20">
        <v>2</v>
      </c>
      <c r="B233" s="20"/>
      <c r="C233" s="20"/>
      <c r="D233" s="20"/>
      <c r="E233" s="20"/>
      <c r="F233" s="20"/>
      <c r="G233" s="20"/>
      <c r="H233" s="20"/>
      <c r="I233" s="20"/>
      <c r="J233" s="20"/>
      <c r="K233" s="20"/>
      <c r="L233" s="20"/>
      <c r="M233" s="20"/>
      <c r="N233" s="20"/>
      <c r="O233" s="20"/>
      <c r="P233" s="20"/>
      <c r="Q233" s="20"/>
      <c r="S233" s="5" t="s">
        <v>124</v>
      </c>
      <c r="T233" s="5">
        <v>0.2</v>
      </c>
      <c r="U233" s="5" t="s">
        <v>45</v>
      </c>
    </row>
    <row r="234" spans="1:46" x14ac:dyDescent="0.25">
      <c r="A234" s="20">
        <v>3</v>
      </c>
      <c r="B234" s="20"/>
      <c r="C234" s="20"/>
      <c r="D234" s="20"/>
      <c r="E234" s="20"/>
      <c r="F234" s="20"/>
      <c r="G234" s="20"/>
      <c r="H234" s="20"/>
      <c r="I234" s="20"/>
      <c r="J234" s="20"/>
      <c r="K234" s="20"/>
      <c r="L234" s="20"/>
      <c r="M234" s="20"/>
      <c r="N234" s="20"/>
      <c r="O234" s="20"/>
      <c r="P234" s="20"/>
      <c r="Q234" s="20"/>
      <c r="S234" s="5" t="s">
        <v>97</v>
      </c>
      <c r="T234" s="5">
        <v>1</v>
      </c>
      <c r="U234" s="5" t="s">
        <v>99</v>
      </c>
    </row>
    <row r="235" spans="1:46" x14ac:dyDescent="0.25">
      <c r="A235" s="20">
        <v>4</v>
      </c>
      <c r="B235" s="20"/>
      <c r="C235" s="20"/>
      <c r="D235" s="20"/>
      <c r="E235" s="20"/>
      <c r="F235" s="20"/>
      <c r="G235" s="20"/>
      <c r="H235" s="20"/>
      <c r="I235" s="20"/>
      <c r="J235" s="20"/>
      <c r="K235" s="20"/>
      <c r="L235" s="20"/>
      <c r="M235" s="20"/>
      <c r="N235" s="20"/>
      <c r="O235" s="20"/>
      <c r="P235" s="20"/>
      <c r="Q235" s="20"/>
      <c r="S235" s="5" t="s">
        <v>98</v>
      </c>
      <c r="T235" s="5">
        <v>1</v>
      </c>
      <c r="U235" s="5" t="s">
        <v>99</v>
      </c>
    </row>
    <row r="236" spans="1:46" x14ac:dyDescent="0.25">
      <c r="A236" s="20">
        <v>5</v>
      </c>
      <c r="B236" s="20"/>
      <c r="C236" s="20"/>
      <c r="D236" s="20"/>
      <c r="E236" s="20"/>
      <c r="F236" s="20"/>
      <c r="G236" s="20"/>
      <c r="H236" s="20"/>
      <c r="I236" s="20"/>
      <c r="J236" s="20"/>
      <c r="K236" s="20"/>
      <c r="L236" s="20"/>
      <c r="M236" s="20"/>
      <c r="N236" s="20"/>
      <c r="O236" s="20"/>
      <c r="P236" s="20"/>
      <c r="Q236" s="20"/>
      <c r="S236" s="5" t="s">
        <v>236</v>
      </c>
      <c r="T236" s="5" t="s">
        <v>247</v>
      </c>
      <c r="U236" s="5"/>
    </row>
    <row r="237" spans="1:46" x14ac:dyDescent="0.25">
      <c r="A237" s="20">
        <v>6</v>
      </c>
      <c r="B237" s="20"/>
      <c r="C237" s="20"/>
      <c r="D237" s="20"/>
      <c r="E237" s="20"/>
      <c r="F237" s="20"/>
      <c r="G237" s="20"/>
      <c r="H237" s="20"/>
      <c r="I237" s="20"/>
      <c r="J237" s="20"/>
      <c r="K237" s="20"/>
      <c r="L237" s="20"/>
      <c r="M237" s="20"/>
      <c r="N237" s="20"/>
      <c r="O237" s="20"/>
      <c r="P237" s="20"/>
      <c r="Q237" s="20"/>
      <c r="S237" s="5" t="s">
        <v>237</v>
      </c>
      <c r="T237" s="5">
        <v>0</v>
      </c>
      <c r="U237" s="5"/>
    </row>
    <row r="238" spans="1:46" x14ac:dyDescent="0.25">
      <c r="A238" s="20">
        <v>7</v>
      </c>
      <c r="B238" s="20"/>
      <c r="C238" s="20"/>
      <c r="D238" s="20"/>
      <c r="E238" s="20"/>
      <c r="F238" s="20"/>
      <c r="G238" s="20"/>
      <c r="H238" s="20"/>
      <c r="I238" s="20"/>
      <c r="J238" s="20"/>
      <c r="K238" s="20"/>
      <c r="L238" s="20"/>
      <c r="M238" s="20"/>
      <c r="N238" s="20"/>
      <c r="O238" s="20"/>
      <c r="P238" s="20"/>
      <c r="Q238" s="20"/>
      <c r="S238" s="58"/>
      <c r="T238" s="58"/>
      <c r="U238" s="92"/>
    </row>
    <row r="239" spans="1:46" x14ac:dyDescent="0.25">
      <c r="A239" s="20">
        <v>8</v>
      </c>
      <c r="B239" s="20"/>
      <c r="C239" s="20"/>
      <c r="D239" s="20"/>
      <c r="E239" s="20"/>
      <c r="F239" s="20"/>
      <c r="G239" s="20"/>
      <c r="H239" s="20"/>
      <c r="I239" s="20"/>
      <c r="J239" s="20"/>
      <c r="K239" s="20"/>
      <c r="L239" s="20"/>
      <c r="M239" s="20"/>
      <c r="N239" s="20"/>
      <c r="O239" s="20"/>
      <c r="P239" s="20"/>
      <c r="Q239" s="20"/>
      <c r="S239" s="5" t="s">
        <v>383</v>
      </c>
      <c r="T239" s="5">
        <v>60</v>
      </c>
      <c r="U239" s="5" t="s">
        <v>44</v>
      </c>
      <c r="V239" s="1"/>
    </row>
    <row r="240" spans="1:46" x14ac:dyDescent="0.25">
      <c r="A240" s="20">
        <v>9</v>
      </c>
      <c r="B240" s="20"/>
      <c r="C240" s="20"/>
      <c r="D240" s="20"/>
      <c r="E240" s="20"/>
      <c r="F240" s="20"/>
      <c r="G240" s="20"/>
      <c r="H240" s="20"/>
      <c r="I240" s="20"/>
      <c r="J240" s="20"/>
      <c r="K240" s="20"/>
      <c r="L240" s="20"/>
      <c r="M240" s="20"/>
      <c r="N240" s="20"/>
      <c r="O240" s="20"/>
      <c r="P240" s="20"/>
      <c r="Q240" s="20"/>
      <c r="S240" s="5" t="s">
        <v>95</v>
      </c>
      <c r="T240" s="5">
        <v>1000</v>
      </c>
      <c r="U240" s="5" t="s">
        <v>46</v>
      </c>
    </row>
    <row r="241" spans="1:22" x14ac:dyDescent="0.25">
      <c r="A241" s="20">
        <v>10</v>
      </c>
      <c r="B241" s="20"/>
      <c r="C241" s="20"/>
      <c r="D241" s="20"/>
      <c r="E241" s="20"/>
      <c r="F241" s="20"/>
      <c r="G241" s="20"/>
      <c r="H241" s="20"/>
      <c r="I241" s="20"/>
      <c r="J241" s="20"/>
      <c r="K241" s="20"/>
      <c r="L241" s="20"/>
      <c r="M241" s="20"/>
      <c r="N241" s="20"/>
      <c r="O241" s="20"/>
      <c r="P241" s="20"/>
      <c r="Q241" s="20"/>
      <c r="S241" s="5" t="s">
        <v>96</v>
      </c>
      <c r="T241" s="5">
        <v>9000</v>
      </c>
      <c r="U241" s="5" t="s">
        <v>46</v>
      </c>
    </row>
    <row r="242" spans="1:22" x14ac:dyDescent="0.25">
      <c r="A242" s="20">
        <v>11</v>
      </c>
      <c r="B242" s="20"/>
      <c r="C242" s="20"/>
      <c r="D242" s="20"/>
      <c r="E242" s="20"/>
      <c r="F242" s="20"/>
      <c r="G242" s="20"/>
      <c r="H242" s="20"/>
      <c r="I242" s="20"/>
      <c r="J242" s="20"/>
      <c r="K242" s="20"/>
      <c r="L242" s="20"/>
      <c r="M242" s="20"/>
      <c r="N242" s="20"/>
      <c r="O242" s="20"/>
      <c r="P242" s="20"/>
      <c r="Q242" s="20"/>
      <c r="S242" s="5" t="s">
        <v>42</v>
      </c>
      <c r="T242" s="5">
        <v>210</v>
      </c>
      <c r="U242" s="5" t="s">
        <v>44</v>
      </c>
      <c r="V242" s="1"/>
    </row>
    <row r="243" spans="1:22" x14ac:dyDescent="0.25">
      <c r="A243" s="29"/>
      <c r="B243" s="29"/>
      <c r="C243" s="29"/>
      <c r="D243" s="29"/>
      <c r="E243" s="29"/>
      <c r="F243" s="29"/>
      <c r="G243" s="29"/>
      <c r="H243" s="29"/>
      <c r="I243" s="29"/>
      <c r="J243" s="29"/>
      <c r="K243" s="29"/>
      <c r="L243" s="29"/>
      <c r="M243" s="29"/>
      <c r="N243" s="29"/>
      <c r="O243" s="29"/>
      <c r="P243" s="29"/>
      <c r="Q243" s="29"/>
      <c r="S243" s="5" t="s">
        <v>43</v>
      </c>
      <c r="T243" s="5">
        <v>2.85</v>
      </c>
      <c r="U243" s="5" t="s">
        <v>45</v>
      </c>
    </row>
    <row r="244" spans="1:22" x14ac:dyDescent="0.25">
      <c r="A244" s="29"/>
      <c r="B244" s="29"/>
      <c r="C244" s="29"/>
      <c r="D244" s="29"/>
      <c r="E244" s="29"/>
      <c r="F244" s="29"/>
      <c r="G244" s="29"/>
      <c r="H244" s="29"/>
      <c r="I244" s="29"/>
      <c r="J244" s="29"/>
      <c r="K244" s="29"/>
      <c r="L244" s="29"/>
      <c r="M244" s="29"/>
      <c r="N244" s="29"/>
      <c r="O244" s="29"/>
      <c r="P244" s="29"/>
      <c r="Q244" s="29"/>
      <c r="S244" s="5" t="s">
        <v>47</v>
      </c>
      <c r="T244" s="5" t="s">
        <v>91</v>
      </c>
      <c r="U244" s="5" t="s">
        <v>100</v>
      </c>
    </row>
    <row r="245" spans="1:22" x14ac:dyDescent="0.25">
      <c r="A245" s="29"/>
      <c r="B245" s="29"/>
      <c r="C245" s="29"/>
      <c r="D245" s="29"/>
      <c r="E245" s="29"/>
      <c r="F245" s="29"/>
      <c r="G245" s="29"/>
      <c r="H245" s="29"/>
      <c r="I245" s="29"/>
      <c r="J245" s="29"/>
      <c r="K245" s="29"/>
      <c r="L245" s="29"/>
      <c r="M245" s="29"/>
      <c r="N245" s="29"/>
      <c r="O245" s="29"/>
      <c r="P245" s="29"/>
      <c r="Q245" s="29"/>
      <c r="S245" s="5" t="s">
        <v>134</v>
      </c>
      <c r="T245" s="5" t="s">
        <v>195</v>
      </c>
      <c r="U245" s="5"/>
    </row>
    <row r="246" spans="1:22" x14ac:dyDescent="0.25">
      <c r="A246" s="29"/>
      <c r="B246" s="29"/>
      <c r="C246" s="29"/>
      <c r="D246" s="29"/>
      <c r="E246" s="29"/>
      <c r="F246" s="29"/>
      <c r="G246" s="29"/>
      <c r="H246" s="29"/>
      <c r="I246" s="29"/>
      <c r="J246" s="29"/>
      <c r="K246" s="29"/>
      <c r="L246" s="29"/>
      <c r="M246" s="29"/>
      <c r="N246" s="29"/>
      <c r="O246" s="29"/>
      <c r="P246" s="29"/>
      <c r="Q246" s="29"/>
      <c r="S246" s="5" t="s">
        <v>194</v>
      </c>
      <c r="T246" s="5" t="s">
        <v>165</v>
      </c>
      <c r="U246" s="5"/>
    </row>
    <row r="247" spans="1:22" x14ac:dyDescent="0.25">
      <c r="A247" s="29"/>
      <c r="B247" s="29"/>
      <c r="C247" s="29"/>
      <c r="D247" s="29"/>
      <c r="E247" s="29"/>
      <c r="F247" s="29"/>
      <c r="G247" s="29"/>
      <c r="H247" s="29"/>
      <c r="I247" s="29"/>
      <c r="J247" s="29"/>
      <c r="K247" s="29"/>
      <c r="L247" s="29"/>
      <c r="M247" s="29"/>
      <c r="N247" s="29"/>
      <c r="O247" s="29"/>
      <c r="P247" s="29"/>
      <c r="Q247" s="29"/>
      <c r="S247" s="5" t="s">
        <v>209</v>
      </c>
      <c r="T247" s="5">
        <v>20</v>
      </c>
      <c r="U247" s="5" t="s">
        <v>45</v>
      </c>
    </row>
    <row r="248" spans="1:22" x14ac:dyDescent="0.25">
      <c r="A248" s="29"/>
      <c r="B248" s="29"/>
      <c r="C248" s="29"/>
      <c r="D248" s="29"/>
      <c r="E248" s="29"/>
      <c r="F248" s="29"/>
      <c r="G248" s="29"/>
      <c r="H248" s="29"/>
      <c r="I248" s="29"/>
      <c r="J248" s="29"/>
      <c r="K248" s="29"/>
      <c r="L248" s="29"/>
      <c r="M248" s="29"/>
      <c r="N248" s="29"/>
      <c r="O248" s="29"/>
      <c r="P248" s="29"/>
      <c r="Q248" s="29"/>
      <c r="S248" s="5" t="s">
        <v>210</v>
      </c>
      <c r="T248" s="5">
        <v>10</v>
      </c>
      <c r="U248" s="5" t="s">
        <v>45</v>
      </c>
    </row>
    <row r="249" spans="1:22" x14ac:dyDescent="0.25">
      <c r="A249" s="29"/>
      <c r="B249" s="29"/>
      <c r="C249" s="29"/>
      <c r="D249" s="29"/>
      <c r="E249" s="29"/>
      <c r="F249" s="29"/>
      <c r="G249" s="29"/>
      <c r="H249" s="29"/>
      <c r="I249" s="29"/>
      <c r="J249" s="29"/>
      <c r="K249" s="29"/>
      <c r="L249" s="29"/>
      <c r="M249" s="29"/>
      <c r="N249" s="29"/>
      <c r="O249" s="29"/>
      <c r="P249" s="29"/>
      <c r="Q249" s="29"/>
      <c r="S249" s="5" t="s">
        <v>211</v>
      </c>
      <c r="T249" s="5">
        <v>0.3</v>
      </c>
      <c r="U249" s="5" t="s">
        <v>45</v>
      </c>
    </row>
    <row r="250" spans="1:22" x14ac:dyDescent="0.25">
      <c r="A250" s="29"/>
      <c r="B250" s="29"/>
      <c r="C250" s="29"/>
      <c r="D250" s="29"/>
      <c r="E250" s="29"/>
      <c r="F250" s="29"/>
      <c r="G250" s="29"/>
      <c r="H250" s="29"/>
      <c r="I250" s="29"/>
      <c r="J250" s="29"/>
      <c r="K250" s="29"/>
      <c r="L250" s="29"/>
      <c r="M250" s="29"/>
      <c r="N250" s="29"/>
      <c r="O250" s="29"/>
      <c r="P250" s="29"/>
      <c r="Q250" s="29"/>
      <c r="S250" s="80" t="s">
        <v>384</v>
      </c>
      <c r="T250" s="5">
        <v>0</v>
      </c>
      <c r="U250" s="5"/>
      <c r="V250" s="1"/>
    </row>
    <row r="251" spans="1:22" x14ac:dyDescent="0.25">
      <c r="A251" s="29"/>
      <c r="B251" s="29"/>
      <c r="C251" s="29"/>
      <c r="D251" s="29"/>
      <c r="E251" s="29"/>
      <c r="F251" s="29"/>
      <c r="G251" s="29"/>
      <c r="H251" s="29"/>
      <c r="I251" s="29"/>
      <c r="J251" s="29"/>
      <c r="K251" s="29"/>
      <c r="L251" s="29"/>
      <c r="M251" s="29"/>
      <c r="N251" s="29"/>
      <c r="O251" s="29"/>
      <c r="P251" s="29"/>
      <c r="Q251" s="29"/>
      <c r="S251" s="5" t="s">
        <v>196</v>
      </c>
      <c r="T251" s="5" t="s">
        <v>208</v>
      </c>
      <c r="U251" s="5" t="s">
        <v>200</v>
      </c>
    </row>
    <row r="252" spans="1:22" x14ac:dyDescent="0.25">
      <c r="A252" s="29"/>
      <c r="B252" s="29"/>
      <c r="C252" s="29"/>
      <c r="D252" s="29"/>
      <c r="E252" s="29"/>
      <c r="F252" s="29"/>
      <c r="G252" s="29"/>
      <c r="H252" s="29"/>
      <c r="I252" s="29"/>
      <c r="J252" s="29"/>
      <c r="K252" s="29"/>
      <c r="L252" s="29"/>
      <c r="M252" s="29"/>
      <c r="N252" s="29"/>
      <c r="O252" s="29"/>
      <c r="P252" s="29"/>
      <c r="Q252" s="29"/>
      <c r="S252" s="5" t="s">
        <v>201</v>
      </c>
      <c r="T252" s="5">
        <v>5</v>
      </c>
      <c r="U252" s="5" t="s">
        <v>45</v>
      </c>
      <c r="V252" s="1"/>
    </row>
    <row r="253" spans="1:22" x14ac:dyDescent="0.25">
      <c r="A253" s="29"/>
      <c r="B253" s="29"/>
      <c r="C253" s="29"/>
      <c r="D253" s="29"/>
      <c r="E253" s="29"/>
      <c r="F253" s="29"/>
      <c r="G253" s="29"/>
      <c r="H253" s="29"/>
      <c r="I253" s="29"/>
      <c r="J253" s="29"/>
      <c r="K253" s="29"/>
      <c r="L253" s="29"/>
      <c r="M253" s="29"/>
      <c r="N253" s="29"/>
      <c r="O253" s="29"/>
      <c r="P253" s="29"/>
      <c r="Q253" s="29"/>
      <c r="S253" s="5" t="s">
        <v>202</v>
      </c>
      <c r="T253" s="5">
        <v>7</v>
      </c>
      <c r="U253" s="5" t="s">
        <v>100</v>
      </c>
    </row>
    <row r="254" spans="1:22" x14ac:dyDescent="0.25">
      <c r="A254" s="29"/>
      <c r="B254" s="29"/>
      <c r="C254" s="29"/>
      <c r="D254" s="29"/>
      <c r="E254" s="29"/>
      <c r="F254" s="29"/>
      <c r="G254" s="29"/>
      <c r="H254" s="29"/>
      <c r="I254" s="29"/>
      <c r="J254" s="29"/>
      <c r="K254" s="29"/>
      <c r="L254" s="29"/>
      <c r="M254" s="29"/>
      <c r="N254" s="29"/>
      <c r="O254" s="29"/>
      <c r="P254" s="29"/>
      <c r="Q254" s="29"/>
      <c r="S254" s="5" t="s">
        <v>203</v>
      </c>
      <c r="T254" s="5">
        <v>2500</v>
      </c>
      <c r="U254" s="5" t="s">
        <v>46</v>
      </c>
    </row>
    <row r="255" spans="1:22" x14ac:dyDescent="0.25">
      <c r="A255" s="29"/>
      <c r="B255" s="29"/>
      <c r="C255" s="29"/>
      <c r="D255" s="29"/>
      <c r="E255" s="29"/>
      <c r="F255" s="29"/>
      <c r="G255" s="29"/>
      <c r="H255" s="29"/>
      <c r="I255" s="29"/>
      <c r="J255" s="29"/>
      <c r="K255" s="29"/>
      <c r="L255" s="29"/>
      <c r="M255" s="29"/>
      <c r="N255" s="29"/>
      <c r="O255" s="29"/>
      <c r="P255" s="29"/>
      <c r="Q255" s="29"/>
      <c r="S255" s="5" t="s">
        <v>204</v>
      </c>
      <c r="T255" s="5">
        <f>-T253</f>
        <v>-7</v>
      </c>
      <c r="U255" s="5" t="s">
        <v>100</v>
      </c>
    </row>
    <row r="256" spans="1:22" x14ac:dyDescent="0.25">
      <c r="A256" s="29"/>
      <c r="B256" s="29"/>
      <c r="C256" s="29"/>
      <c r="D256" s="29"/>
      <c r="E256" s="29"/>
      <c r="F256" s="29"/>
      <c r="G256" s="29"/>
      <c r="H256" s="29"/>
      <c r="I256" s="29"/>
      <c r="J256" s="29"/>
      <c r="K256" s="29"/>
      <c r="L256" s="29"/>
      <c r="M256" s="29"/>
      <c r="N256" s="29"/>
      <c r="O256" s="29"/>
      <c r="P256" s="29"/>
      <c r="Q256" s="29"/>
      <c r="S256" s="3" t="s">
        <v>205</v>
      </c>
      <c r="T256" s="3">
        <f>T254</f>
        <v>2500</v>
      </c>
      <c r="U256" s="5" t="s">
        <v>46</v>
      </c>
    </row>
    <row r="257" spans="1:40" x14ac:dyDescent="0.25">
      <c r="A257" s="29"/>
      <c r="B257" s="29"/>
      <c r="C257" s="29"/>
      <c r="D257" s="29"/>
      <c r="E257" s="29"/>
      <c r="F257" s="29"/>
      <c r="G257" s="29"/>
      <c r="H257" s="29"/>
      <c r="I257" s="29"/>
      <c r="J257" s="29"/>
      <c r="K257" s="29"/>
      <c r="L257" s="29"/>
      <c r="M257" s="29"/>
      <c r="N257" s="29"/>
      <c r="O257" s="29"/>
      <c r="P257" s="29"/>
      <c r="Q257" s="29"/>
      <c r="S257" s="3" t="s">
        <v>206</v>
      </c>
      <c r="T257" s="3">
        <v>0.2</v>
      </c>
      <c r="U257" s="5" t="s">
        <v>45</v>
      </c>
    </row>
    <row r="258" spans="1:40" x14ac:dyDescent="0.25">
      <c r="A258" s="29"/>
      <c r="B258" s="29"/>
      <c r="C258" s="29"/>
      <c r="D258" s="29"/>
      <c r="E258" s="29"/>
      <c r="F258" s="29"/>
      <c r="G258" s="29"/>
      <c r="H258" s="29"/>
      <c r="I258" s="29"/>
      <c r="J258" s="29"/>
      <c r="K258" s="29"/>
      <c r="L258" s="29"/>
      <c r="M258" s="29"/>
      <c r="N258" s="29"/>
      <c r="O258" s="29"/>
      <c r="P258" s="29"/>
      <c r="Q258" s="29"/>
      <c r="S258" s="3" t="s">
        <v>207</v>
      </c>
      <c r="T258" s="3">
        <v>7500</v>
      </c>
      <c r="U258" s="5" t="s">
        <v>46</v>
      </c>
    </row>
    <row r="259" spans="1:40" x14ac:dyDescent="0.25">
      <c r="A259" s="29"/>
      <c r="B259" s="29"/>
      <c r="C259" s="29"/>
      <c r="D259" s="29"/>
      <c r="E259" s="29"/>
      <c r="F259" s="29"/>
      <c r="G259" s="29"/>
      <c r="H259" s="29"/>
      <c r="I259" s="29"/>
      <c r="J259" s="29"/>
      <c r="K259" s="29"/>
      <c r="L259" s="29"/>
      <c r="M259" s="29"/>
      <c r="N259" s="29"/>
      <c r="O259" s="29"/>
      <c r="P259" s="29"/>
      <c r="Q259" s="29"/>
      <c r="S259" s="29"/>
      <c r="T259" s="29"/>
      <c r="U259" s="93"/>
      <c r="V259" s="29"/>
      <c r="W259" s="29"/>
      <c r="X259" s="29"/>
      <c r="Y259" s="29"/>
      <c r="Z259" s="29"/>
      <c r="AA259" s="29"/>
      <c r="AB259" s="29"/>
      <c r="AC259" s="29"/>
      <c r="AE259" s="29"/>
      <c r="AF259" s="29"/>
    </row>
    <row r="260" spans="1:40" x14ac:dyDescent="0.25">
      <c r="A260" s="29"/>
      <c r="B260" s="29"/>
      <c r="C260" s="29"/>
      <c r="D260" s="29"/>
      <c r="E260" s="29"/>
      <c r="F260" s="29"/>
      <c r="G260" s="29"/>
      <c r="H260" s="29"/>
      <c r="I260" s="29"/>
      <c r="J260" s="29"/>
      <c r="K260" s="29"/>
      <c r="L260" s="29"/>
      <c r="M260" s="29"/>
      <c r="N260" s="29"/>
      <c r="O260" s="29"/>
      <c r="P260" s="29"/>
      <c r="Q260" s="29"/>
      <c r="S260" s="98" t="s">
        <v>336</v>
      </c>
      <c r="T260" s="98" t="s">
        <v>337</v>
      </c>
      <c r="U260" s="99" t="s">
        <v>375</v>
      </c>
      <c r="V260" s="29"/>
      <c r="W260" s="29"/>
      <c r="X260" s="29"/>
      <c r="Y260" s="29"/>
      <c r="Z260" s="29"/>
      <c r="AA260" s="29"/>
      <c r="AB260" s="29"/>
      <c r="AC260" s="29"/>
      <c r="AD260" s="29"/>
      <c r="AE260" s="29"/>
      <c r="AF260" s="29"/>
    </row>
    <row r="261" spans="1:40" x14ac:dyDescent="0.25">
      <c r="A261" s="29"/>
      <c r="B261" s="29"/>
      <c r="C261" s="29"/>
      <c r="D261" s="29"/>
      <c r="E261" s="29"/>
      <c r="F261" s="29"/>
      <c r="G261" s="29"/>
      <c r="H261" s="29"/>
      <c r="I261" s="29"/>
      <c r="J261" s="29"/>
      <c r="K261" s="29"/>
      <c r="L261" s="29"/>
      <c r="M261" s="29"/>
      <c r="N261" s="29"/>
      <c r="O261" s="29"/>
      <c r="P261" s="29"/>
      <c r="Q261" s="29"/>
      <c r="R261" s="29"/>
      <c r="S261" s="77"/>
      <c r="T261" s="77"/>
      <c r="U261" s="94"/>
      <c r="V261" s="29"/>
      <c r="W261" s="29"/>
      <c r="X261" s="29"/>
      <c r="Y261" s="29"/>
      <c r="Z261" s="29"/>
      <c r="AA261" s="29"/>
      <c r="AB261" s="29"/>
      <c r="AC261" s="29"/>
      <c r="AD261" s="29"/>
      <c r="AE261" s="29"/>
      <c r="AF261" s="29"/>
      <c r="AG261" s="29"/>
      <c r="AH261" s="29"/>
      <c r="AI261" s="29"/>
      <c r="AJ261" s="29"/>
      <c r="AK261" s="29"/>
      <c r="AL261" s="29"/>
      <c r="AM261" s="29"/>
      <c r="AN261" s="29"/>
    </row>
    <row r="262" spans="1:40" x14ac:dyDescent="0.25">
      <c r="A262" s="29"/>
      <c r="B262" s="29"/>
      <c r="C262" s="29"/>
      <c r="D262" s="29"/>
      <c r="E262" s="29"/>
      <c r="F262" s="29"/>
      <c r="G262" s="29"/>
      <c r="H262" s="29"/>
      <c r="I262" s="29"/>
      <c r="J262" s="29"/>
      <c r="K262" s="29"/>
      <c r="L262" s="29"/>
      <c r="M262" s="29"/>
      <c r="N262" s="29"/>
      <c r="O262" s="29"/>
      <c r="P262" s="29"/>
      <c r="Q262" s="29"/>
      <c r="R262" s="29"/>
      <c r="S262" s="77" t="s">
        <v>353</v>
      </c>
      <c r="T262" s="77">
        <v>0.2</v>
      </c>
      <c r="U262" s="94" t="s">
        <v>45</v>
      </c>
      <c r="V262" s="29"/>
      <c r="W262" s="29"/>
      <c r="X262" s="29"/>
      <c r="Y262" s="29"/>
      <c r="Z262" s="29"/>
      <c r="AA262" s="29"/>
      <c r="AB262" s="29"/>
      <c r="AC262" s="29"/>
      <c r="AD262" s="29"/>
      <c r="AE262" s="29"/>
      <c r="AF262" s="29"/>
      <c r="AG262" s="29"/>
      <c r="AH262" s="29"/>
      <c r="AI262" s="29"/>
      <c r="AJ262" s="29"/>
      <c r="AK262" s="29"/>
      <c r="AL262" s="29"/>
      <c r="AM262" s="29"/>
      <c r="AN262" s="29"/>
    </row>
    <row r="263" spans="1:40" x14ac:dyDescent="0.25">
      <c r="A263" s="29"/>
      <c r="B263" s="29"/>
      <c r="C263" s="29"/>
      <c r="D263" s="29"/>
      <c r="E263" s="29"/>
      <c r="F263" s="29"/>
      <c r="G263" s="29"/>
      <c r="H263" s="29"/>
      <c r="I263" s="29"/>
      <c r="J263" s="29"/>
      <c r="K263" s="29"/>
      <c r="L263" s="29"/>
      <c r="M263" s="29"/>
      <c r="N263" s="29"/>
      <c r="O263" s="29"/>
      <c r="P263" s="29"/>
      <c r="Q263" s="29"/>
      <c r="R263" s="29"/>
      <c r="S263" s="77" t="s">
        <v>351</v>
      </c>
      <c r="T263" s="77">
        <v>1</v>
      </c>
      <c r="U263" s="94" t="s">
        <v>45</v>
      </c>
      <c r="V263" s="29"/>
      <c r="W263" s="29"/>
      <c r="X263" s="29"/>
      <c r="Y263" s="29"/>
      <c r="Z263" s="29"/>
      <c r="AA263" s="29"/>
      <c r="AB263" s="29"/>
      <c r="AC263" s="29"/>
      <c r="AD263" s="29"/>
      <c r="AE263" s="29"/>
      <c r="AF263" s="29"/>
      <c r="AG263" s="29"/>
      <c r="AH263" s="29"/>
      <c r="AI263" s="29"/>
      <c r="AJ263" s="29"/>
      <c r="AK263" s="29"/>
      <c r="AL263" s="29"/>
      <c r="AM263" s="29"/>
      <c r="AN263" s="29"/>
    </row>
    <row r="264" spans="1:40" x14ac:dyDescent="0.25">
      <c r="A264" s="29"/>
      <c r="B264" s="29"/>
      <c r="C264" s="29"/>
      <c r="D264" s="29"/>
      <c r="E264" s="29"/>
      <c r="F264" s="29"/>
      <c r="G264" s="29"/>
      <c r="H264" s="29"/>
      <c r="I264" s="29"/>
      <c r="J264" s="29"/>
      <c r="K264" s="29"/>
      <c r="L264" s="29"/>
      <c r="M264" s="29"/>
      <c r="N264" s="29"/>
      <c r="O264" s="29"/>
      <c r="P264" s="29"/>
      <c r="Q264" s="29"/>
      <c r="R264" s="29"/>
      <c r="S264" s="77" t="s">
        <v>352</v>
      </c>
      <c r="T264" s="77">
        <v>0.5</v>
      </c>
      <c r="U264" s="94" t="s">
        <v>45</v>
      </c>
      <c r="V264" s="29"/>
      <c r="W264" s="29"/>
      <c r="X264" s="29"/>
      <c r="Y264" s="29"/>
      <c r="Z264" s="29"/>
      <c r="AA264" s="29"/>
      <c r="AB264" s="29"/>
      <c r="AC264" s="29"/>
      <c r="AD264" s="29"/>
      <c r="AE264" s="29"/>
      <c r="AF264" s="29"/>
      <c r="AG264" s="29"/>
      <c r="AH264" s="29"/>
      <c r="AI264" s="29"/>
      <c r="AJ264" s="29"/>
      <c r="AK264" s="29"/>
      <c r="AL264" s="29"/>
      <c r="AM264" s="29"/>
      <c r="AN264" s="29"/>
    </row>
  </sheetData>
  <mergeCells count="5">
    <mergeCell ref="C13:N13"/>
    <mergeCell ref="C14:N14"/>
    <mergeCell ref="C15:N15"/>
    <mergeCell ref="C16:N16"/>
    <mergeCell ref="C17:N17"/>
  </mergeCells>
  <conditionalFormatting sqref="C54:C87">
    <cfRule type="aboveAverage" dxfId="3" priority="4"/>
  </conditionalFormatting>
  <conditionalFormatting sqref="C123:C124">
    <cfRule type="aboveAverage" dxfId="2" priority="194"/>
  </conditionalFormatting>
  <conditionalFormatting sqref="C90 C98:C122">
    <cfRule type="aboveAverage" dxfId="1" priority="2"/>
  </conditionalFormatting>
  <conditionalFormatting sqref="C231 C243:C264">
    <cfRule type="aboveAverage" dxfId="0" priority="1"/>
  </conditionalFormatting>
  <hyperlinks>
    <hyperlink ref="F63" r:id="rId1" xr:uid="{F1DB2C95-369F-45E6-AEA7-B018F4CACECA}"/>
    <hyperlink ref="F64" r:id="rId2" xr:uid="{7A16123E-FD12-4B55-9815-30D75454E853}"/>
    <hyperlink ref="F65" r:id="rId3" xr:uid="{48C4567D-E05C-4C1B-99F6-6CC59FC420D0}"/>
  </hyperlinks>
  <pageMargins left="0.7" right="0.7" top="0.75" bottom="0.75" header="0.3" footer="0.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656D02-A102-417E-87E1-8BB0716F45F9}">
  <sheetPr codeName="Sheet7"/>
  <dimension ref="A1:Q863"/>
  <sheetViews>
    <sheetView zoomScale="98" workbookViewId="0">
      <selection activeCell="A2" sqref="A2:O2"/>
    </sheetView>
  </sheetViews>
  <sheetFormatPr defaultColWidth="9.140625" defaultRowHeight="16.350000000000001" customHeight="1" x14ac:dyDescent="0.25"/>
  <cols>
    <col min="1" max="2" width="23" style="73" customWidth="1"/>
    <col min="3" max="3" width="19" style="61" customWidth="1"/>
    <col min="4" max="4" width="9.140625" style="61"/>
    <col min="5" max="5" width="16.7109375" style="61" customWidth="1"/>
    <col min="6" max="16384" width="9.140625" style="61"/>
  </cols>
  <sheetData>
    <row r="1" spans="1:17" ht="16.350000000000001" customHeight="1" x14ac:dyDescent="0.25">
      <c r="A1" s="73" t="s">
        <v>309</v>
      </c>
      <c r="B1" s="73" t="s">
        <v>312</v>
      </c>
      <c r="C1" s="73" t="s">
        <v>310</v>
      </c>
      <c r="D1" s="61" t="s">
        <v>311</v>
      </c>
    </row>
    <row r="2" spans="1:17" ht="16.350000000000001" customHeight="1" x14ac:dyDescent="0.25">
      <c r="Q2" s="74"/>
    </row>
    <row r="3" spans="1:17" ht="16.350000000000001" customHeight="1" x14ac:dyDescent="0.25">
      <c r="P3" s="74"/>
    </row>
    <row r="4" spans="1:17" ht="16.350000000000001" customHeight="1" x14ac:dyDescent="0.25">
      <c r="Q4" s="74"/>
    </row>
    <row r="5" spans="1:17" ht="16.350000000000001" customHeight="1" x14ac:dyDescent="0.25">
      <c r="P5" s="74"/>
      <c r="Q5" s="74"/>
    </row>
    <row r="6" spans="1:17" ht="16.350000000000001" customHeight="1" x14ac:dyDescent="0.25">
      <c r="Q6" s="74"/>
    </row>
    <row r="7" spans="1:17" ht="16.350000000000001" customHeight="1" x14ac:dyDescent="0.25">
      <c r="P7" s="74"/>
      <c r="Q7" s="74"/>
    </row>
    <row r="8" spans="1:17" ht="16.350000000000001" customHeight="1" x14ac:dyDescent="0.25">
      <c r="Q8" s="74"/>
    </row>
    <row r="9" spans="1:17" ht="16.350000000000001" customHeight="1" x14ac:dyDescent="0.25">
      <c r="P9" s="74"/>
      <c r="Q9" s="74"/>
    </row>
    <row r="10" spans="1:17" ht="16.350000000000001" customHeight="1" x14ac:dyDescent="0.25">
      <c r="Q10" s="74"/>
    </row>
    <row r="11" spans="1:17" ht="16.350000000000001" customHeight="1" x14ac:dyDescent="0.25">
      <c r="P11" s="74"/>
      <c r="Q11" s="74"/>
    </row>
    <row r="12" spans="1:17" ht="16.350000000000001" customHeight="1" x14ac:dyDescent="0.25">
      <c r="Q12" s="74"/>
    </row>
    <row r="13" spans="1:17" ht="16.350000000000001" customHeight="1" x14ac:dyDescent="0.25">
      <c r="P13" s="74"/>
      <c r="Q13" s="74"/>
    </row>
    <row r="14" spans="1:17" ht="16.350000000000001" customHeight="1" x14ac:dyDescent="0.25">
      <c r="Q14" s="74"/>
    </row>
    <row r="15" spans="1:17" ht="16.350000000000001" customHeight="1" x14ac:dyDescent="0.25">
      <c r="P15" s="74"/>
      <c r="Q15" s="74"/>
    </row>
    <row r="16" spans="1:17" ht="16.350000000000001" customHeight="1" x14ac:dyDescent="0.25">
      <c r="O16" s="74"/>
      <c r="Q16" s="74"/>
    </row>
    <row r="17" spans="15:17" ht="16.350000000000001" customHeight="1" x14ac:dyDescent="0.25">
      <c r="P17" s="74"/>
      <c r="Q17" s="74"/>
    </row>
    <row r="18" spans="15:17" ht="16.350000000000001" customHeight="1" x14ac:dyDescent="0.25">
      <c r="Q18" s="74"/>
    </row>
    <row r="19" spans="15:17" ht="16.350000000000001" customHeight="1" x14ac:dyDescent="0.25">
      <c r="P19" s="74"/>
      <c r="Q19" s="74"/>
    </row>
    <row r="20" spans="15:17" ht="16.350000000000001" customHeight="1" x14ac:dyDescent="0.25">
      <c r="Q20" s="74"/>
    </row>
    <row r="21" spans="15:17" ht="16.350000000000001" customHeight="1" x14ac:dyDescent="0.25">
      <c r="Q21" s="74"/>
    </row>
    <row r="22" spans="15:17" ht="16.350000000000001" customHeight="1" x14ac:dyDescent="0.25">
      <c r="Q22" s="74"/>
    </row>
    <row r="23" spans="15:17" ht="16.350000000000001" customHeight="1" x14ac:dyDescent="0.25">
      <c r="Q23" s="74"/>
    </row>
    <row r="24" spans="15:17" ht="16.350000000000001" customHeight="1" x14ac:dyDescent="0.25">
      <c r="Q24" s="74"/>
    </row>
    <row r="25" spans="15:17" ht="16.350000000000001" customHeight="1" x14ac:dyDescent="0.25">
      <c r="Q25" s="74"/>
    </row>
    <row r="26" spans="15:17" ht="16.350000000000001" customHeight="1" x14ac:dyDescent="0.25">
      <c r="Q26" s="74"/>
    </row>
    <row r="27" spans="15:17" ht="16.350000000000001" customHeight="1" x14ac:dyDescent="0.25">
      <c r="O27" s="74"/>
      <c r="Q27" s="74"/>
    </row>
    <row r="28" spans="15:17" ht="16.350000000000001" customHeight="1" x14ac:dyDescent="0.25">
      <c r="Q28" s="74"/>
    </row>
    <row r="29" spans="15:17" ht="16.350000000000001" customHeight="1" x14ac:dyDescent="0.25">
      <c r="Q29" s="74"/>
    </row>
    <row r="30" spans="15:17" ht="16.350000000000001" customHeight="1" x14ac:dyDescent="0.25">
      <c r="Q30" s="74"/>
    </row>
    <row r="31" spans="15:17" ht="16.350000000000001" customHeight="1" x14ac:dyDescent="0.25">
      <c r="Q31" s="74"/>
    </row>
    <row r="32" spans="15:17" ht="16.350000000000001" customHeight="1" x14ac:dyDescent="0.25">
      <c r="Q32" s="74"/>
    </row>
    <row r="33" spans="15:17" ht="16.350000000000001" customHeight="1" x14ac:dyDescent="0.25">
      <c r="Q33" s="74"/>
    </row>
    <row r="34" spans="15:17" ht="16.350000000000001" customHeight="1" x14ac:dyDescent="0.25">
      <c r="Q34" s="74"/>
    </row>
    <row r="35" spans="15:17" ht="16.350000000000001" customHeight="1" x14ac:dyDescent="0.25">
      <c r="Q35" s="74"/>
    </row>
    <row r="36" spans="15:17" ht="16.350000000000001" customHeight="1" x14ac:dyDescent="0.25">
      <c r="Q36" s="74"/>
    </row>
    <row r="37" spans="15:17" ht="16.350000000000001" customHeight="1" x14ac:dyDescent="0.25">
      <c r="Q37" s="74"/>
    </row>
    <row r="38" spans="15:17" ht="16.350000000000001" customHeight="1" x14ac:dyDescent="0.25">
      <c r="O38" s="74"/>
      <c r="Q38" s="74"/>
    </row>
    <row r="39" spans="15:17" ht="16.350000000000001" customHeight="1" x14ac:dyDescent="0.25">
      <c r="Q39" s="74"/>
    </row>
    <row r="40" spans="15:17" ht="16.350000000000001" customHeight="1" x14ac:dyDescent="0.25">
      <c r="Q40" s="74"/>
    </row>
    <row r="41" spans="15:17" ht="16.350000000000001" customHeight="1" x14ac:dyDescent="0.25">
      <c r="Q41" s="74"/>
    </row>
    <row r="42" spans="15:17" ht="16.350000000000001" customHeight="1" x14ac:dyDescent="0.25">
      <c r="Q42" s="74"/>
    </row>
    <row r="43" spans="15:17" ht="16.350000000000001" customHeight="1" x14ac:dyDescent="0.25">
      <c r="Q43" s="74"/>
    </row>
    <row r="44" spans="15:17" ht="16.350000000000001" customHeight="1" x14ac:dyDescent="0.25">
      <c r="Q44" s="74"/>
    </row>
    <row r="45" spans="15:17" ht="16.350000000000001" customHeight="1" x14ac:dyDescent="0.25">
      <c r="Q45" s="74"/>
    </row>
    <row r="46" spans="15:17" ht="16.350000000000001" customHeight="1" x14ac:dyDescent="0.25">
      <c r="Q46" s="74"/>
    </row>
    <row r="47" spans="15:17" ht="16.350000000000001" customHeight="1" x14ac:dyDescent="0.25">
      <c r="Q47" s="74"/>
    </row>
    <row r="49" spans="15:17" ht="16.350000000000001" customHeight="1" x14ac:dyDescent="0.25">
      <c r="O49" s="74"/>
      <c r="Q49" s="74"/>
    </row>
    <row r="50" spans="15:17" ht="16.350000000000001" customHeight="1" x14ac:dyDescent="0.25">
      <c r="Q50" s="74"/>
    </row>
    <row r="51" spans="15:17" ht="16.350000000000001" customHeight="1" x14ac:dyDescent="0.25">
      <c r="Q51" s="74"/>
    </row>
    <row r="52" spans="15:17" ht="16.350000000000001" customHeight="1" x14ac:dyDescent="0.25">
      <c r="Q52" s="74"/>
    </row>
    <row r="53" spans="15:17" ht="16.350000000000001" customHeight="1" x14ac:dyDescent="0.25">
      <c r="Q53" s="74"/>
    </row>
    <row r="54" spans="15:17" ht="16.350000000000001" customHeight="1" x14ac:dyDescent="0.25">
      <c r="Q54" s="74"/>
    </row>
    <row r="55" spans="15:17" ht="16.350000000000001" customHeight="1" x14ac:dyDescent="0.25">
      <c r="Q55" s="74"/>
    </row>
    <row r="56" spans="15:17" ht="16.350000000000001" customHeight="1" x14ac:dyDescent="0.25">
      <c r="Q56" s="74"/>
    </row>
    <row r="57" spans="15:17" ht="16.350000000000001" customHeight="1" x14ac:dyDescent="0.25">
      <c r="Q57" s="74"/>
    </row>
    <row r="58" spans="15:17" ht="16.350000000000001" customHeight="1" x14ac:dyDescent="0.25">
      <c r="Q58" s="74"/>
    </row>
    <row r="59" spans="15:17" ht="16.350000000000001" customHeight="1" x14ac:dyDescent="0.25">
      <c r="Q59" s="74"/>
    </row>
    <row r="60" spans="15:17" ht="16.350000000000001" customHeight="1" x14ac:dyDescent="0.25">
      <c r="O60" s="74"/>
      <c r="Q60" s="74"/>
    </row>
    <row r="61" spans="15:17" ht="16.350000000000001" customHeight="1" x14ac:dyDescent="0.25">
      <c r="Q61" s="74"/>
    </row>
    <row r="62" spans="15:17" ht="16.350000000000001" customHeight="1" x14ac:dyDescent="0.25">
      <c r="Q62" s="74"/>
    </row>
    <row r="63" spans="15:17" ht="16.350000000000001" customHeight="1" x14ac:dyDescent="0.25">
      <c r="Q63" s="74"/>
    </row>
    <row r="64" spans="15:17" ht="16.350000000000001" customHeight="1" x14ac:dyDescent="0.25">
      <c r="Q64" s="74"/>
    </row>
    <row r="65" spans="15:17" ht="16.350000000000001" customHeight="1" x14ac:dyDescent="0.25">
      <c r="Q65" s="74"/>
    </row>
    <row r="67" spans="15:17" ht="16.350000000000001" customHeight="1" x14ac:dyDescent="0.25">
      <c r="Q67" s="74"/>
    </row>
    <row r="69" spans="15:17" ht="16.350000000000001" customHeight="1" x14ac:dyDescent="0.25">
      <c r="Q69" s="74"/>
    </row>
    <row r="70" spans="15:17" ht="16.350000000000001" customHeight="1" x14ac:dyDescent="0.25">
      <c r="Q70" s="74"/>
    </row>
    <row r="71" spans="15:17" ht="16.350000000000001" customHeight="1" x14ac:dyDescent="0.25">
      <c r="O71" s="74"/>
      <c r="Q71" s="74"/>
    </row>
    <row r="82" spans="15:15" ht="16.350000000000001" customHeight="1" x14ac:dyDescent="0.25">
      <c r="O82" s="74"/>
    </row>
    <row r="93" spans="15:15" ht="16.350000000000001" customHeight="1" x14ac:dyDescent="0.25">
      <c r="O93" s="74"/>
    </row>
    <row r="104" spans="15:15" ht="16.350000000000001" customHeight="1" x14ac:dyDescent="0.25">
      <c r="O104" s="74"/>
    </row>
    <row r="115" spans="15:15" ht="16.350000000000001" customHeight="1" x14ac:dyDescent="0.25">
      <c r="O115" s="74"/>
    </row>
    <row r="126" spans="15:15" ht="16.350000000000001" customHeight="1" x14ac:dyDescent="0.25">
      <c r="O126" s="74"/>
    </row>
    <row r="137" spans="15:15" ht="16.350000000000001" customHeight="1" x14ac:dyDescent="0.25">
      <c r="O137" s="74"/>
    </row>
    <row r="148" spans="15:15" ht="16.350000000000001" customHeight="1" x14ac:dyDescent="0.25">
      <c r="O148" s="74"/>
    </row>
    <row r="159" spans="15:15" ht="16.350000000000001" customHeight="1" x14ac:dyDescent="0.25">
      <c r="O159" s="74"/>
    </row>
    <row r="170" spans="15:15" ht="16.350000000000001" customHeight="1" x14ac:dyDescent="0.25">
      <c r="O170" s="74"/>
    </row>
    <row r="181" spans="15:15" ht="16.350000000000001" customHeight="1" x14ac:dyDescent="0.25">
      <c r="O181" s="74"/>
    </row>
    <row r="192" spans="15:15" ht="16.350000000000001" customHeight="1" x14ac:dyDescent="0.25">
      <c r="O192" s="74"/>
    </row>
    <row r="203" spans="15:15" ht="16.350000000000001" customHeight="1" x14ac:dyDescent="0.25">
      <c r="O203" s="74"/>
    </row>
    <row r="214" spans="15:15" ht="16.350000000000001" customHeight="1" x14ac:dyDescent="0.25">
      <c r="O214" s="74"/>
    </row>
    <row r="225" spans="15:15" ht="16.350000000000001" customHeight="1" x14ac:dyDescent="0.25">
      <c r="O225" s="74"/>
    </row>
    <row r="236" spans="15:15" ht="16.350000000000001" customHeight="1" x14ac:dyDescent="0.25">
      <c r="O236" s="74"/>
    </row>
    <row r="247" spans="15:15" ht="16.350000000000001" customHeight="1" x14ac:dyDescent="0.25">
      <c r="O247" s="74"/>
    </row>
    <row r="258" spans="15:15" ht="16.350000000000001" customHeight="1" x14ac:dyDescent="0.25">
      <c r="O258" s="74"/>
    </row>
    <row r="269" spans="15:15" ht="16.350000000000001" customHeight="1" x14ac:dyDescent="0.25">
      <c r="O269" s="74"/>
    </row>
    <row r="280" spans="15:15" ht="16.350000000000001" customHeight="1" x14ac:dyDescent="0.25">
      <c r="O280" s="74"/>
    </row>
    <row r="291" spans="15:15" ht="16.350000000000001" customHeight="1" x14ac:dyDescent="0.25">
      <c r="O291" s="74"/>
    </row>
    <row r="302" spans="15:15" ht="16.350000000000001" customHeight="1" x14ac:dyDescent="0.25">
      <c r="O302" s="74"/>
    </row>
    <row r="313" spans="15:15" ht="16.350000000000001" customHeight="1" x14ac:dyDescent="0.25">
      <c r="O313" s="74"/>
    </row>
    <row r="324" spans="15:15" ht="16.350000000000001" customHeight="1" x14ac:dyDescent="0.25">
      <c r="O324" s="74"/>
    </row>
    <row r="335" spans="15:15" ht="16.350000000000001" customHeight="1" x14ac:dyDescent="0.25">
      <c r="O335" s="74"/>
    </row>
    <row r="346" spans="15:15" ht="16.350000000000001" customHeight="1" x14ac:dyDescent="0.25">
      <c r="O346" s="74"/>
    </row>
    <row r="357" spans="15:15" ht="16.350000000000001" customHeight="1" x14ac:dyDescent="0.25">
      <c r="O357" s="74"/>
    </row>
    <row r="368" spans="15:15" ht="16.350000000000001" customHeight="1" x14ac:dyDescent="0.25">
      <c r="O368" s="74"/>
    </row>
    <row r="379" spans="15:15" ht="16.350000000000001" customHeight="1" x14ac:dyDescent="0.25">
      <c r="O379" s="74"/>
    </row>
    <row r="390" spans="15:15" ht="16.350000000000001" customHeight="1" x14ac:dyDescent="0.25">
      <c r="O390" s="74"/>
    </row>
    <row r="401" spans="15:15" ht="16.350000000000001" customHeight="1" x14ac:dyDescent="0.25">
      <c r="O401" s="74"/>
    </row>
    <row r="412" spans="15:15" ht="16.350000000000001" customHeight="1" x14ac:dyDescent="0.25">
      <c r="O412" s="74"/>
    </row>
    <row r="423" spans="15:15" ht="16.350000000000001" customHeight="1" x14ac:dyDescent="0.25">
      <c r="O423" s="74"/>
    </row>
    <row r="434" spans="15:15" ht="16.350000000000001" customHeight="1" x14ac:dyDescent="0.25">
      <c r="O434" s="74"/>
    </row>
    <row r="445" spans="15:15" ht="16.350000000000001" customHeight="1" x14ac:dyDescent="0.25">
      <c r="O445" s="74"/>
    </row>
    <row r="456" spans="15:15" ht="16.350000000000001" customHeight="1" x14ac:dyDescent="0.25">
      <c r="O456" s="74"/>
    </row>
    <row r="467" spans="15:15" ht="16.350000000000001" customHeight="1" x14ac:dyDescent="0.25">
      <c r="O467" s="74"/>
    </row>
    <row r="478" spans="15:15" ht="16.350000000000001" customHeight="1" x14ac:dyDescent="0.25">
      <c r="O478" s="74"/>
    </row>
    <row r="489" spans="15:15" ht="16.350000000000001" customHeight="1" x14ac:dyDescent="0.25">
      <c r="O489" s="74"/>
    </row>
    <row r="500" spans="15:15" ht="16.350000000000001" customHeight="1" x14ac:dyDescent="0.25">
      <c r="O500" s="74"/>
    </row>
    <row r="511" spans="15:15" ht="16.350000000000001" customHeight="1" x14ac:dyDescent="0.25">
      <c r="O511" s="74"/>
    </row>
    <row r="522" spans="15:15" ht="16.350000000000001" customHeight="1" x14ac:dyDescent="0.25">
      <c r="O522" s="74"/>
    </row>
    <row r="533" spans="15:15" ht="16.350000000000001" customHeight="1" x14ac:dyDescent="0.25">
      <c r="O533" s="74"/>
    </row>
    <row r="544" spans="15:15" ht="16.350000000000001" customHeight="1" x14ac:dyDescent="0.25">
      <c r="O544" s="74"/>
    </row>
    <row r="555" spans="15:15" ht="16.350000000000001" customHeight="1" x14ac:dyDescent="0.25">
      <c r="O555" s="74"/>
    </row>
    <row r="566" spans="15:15" ht="16.350000000000001" customHeight="1" x14ac:dyDescent="0.25">
      <c r="O566" s="74"/>
    </row>
    <row r="577" spans="15:15" ht="16.350000000000001" customHeight="1" x14ac:dyDescent="0.25">
      <c r="O577" s="74"/>
    </row>
    <row r="588" spans="15:15" ht="16.350000000000001" customHeight="1" x14ac:dyDescent="0.25">
      <c r="O588" s="74"/>
    </row>
    <row r="599" spans="15:15" ht="16.350000000000001" customHeight="1" x14ac:dyDescent="0.25">
      <c r="O599" s="74"/>
    </row>
    <row r="610" spans="15:15" ht="16.350000000000001" customHeight="1" x14ac:dyDescent="0.25">
      <c r="O610" s="74"/>
    </row>
    <row r="621" spans="15:15" ht="16.350000000000001" customHeight="1" x14ac:dyDescent="0.25">
      <c r="O621" s="74"/>
    </row>
    <row r="632" spans="15:15" ht="16.350000000000001" customHeight="1" x14ac:dyDescent="0.25">
      <c r="O632" s="74"/>
    </row>
    <row r="643" spans="15:15" ht="16.350000000000001" customHeight="1" x14ac:dyDescent="0.25">
      <c r="O643" s="74"/>
    </row>
    <row r="654" spans="15:15" ht="16.350000000000001" customHeight="1" x14ac:dyDescent="0.25">
      <c r="O654" s="74"/>
    </row>
    <row r="665" spans="15:15" ht="16.350000000000001" customHeight="1" x14ac:dyDescent="0.25">
      <c r="O665" s="74"/>
    </row>
    <row r="676" spans="15:15" ht="16.350000000000001" customHeight="1" x14ac:dyDescent="0.25">
      <c r="O676" s="74"/>
    </row>
    <row r="687" spans="15:15" ht="16.350000000000001" customHeight="1" x14ac:dyDescent="0.25">
      <c r="O687" s="74"/>
    </row>
    <row r="698" spans="15:15" ht="16.350000000000001" customHeight="1" x14ac:dyDescent="0.25">
      <c r="O698" s="74"/>
    </row>
    <row r="709" spans="15:15" ht="16.350000000000001" customHeight="1" x14ac:dyDescent="0.25">
      <c r="O709" s="74"/>
    </row>
    <row r="720" spans="15:15" ht="16.350000000000001" customHeight="1" x14ac:dyDescent="0.25">
      <c r="O720" s="74"/>
    </row>
    <row r="731" spans="15:15" ht="16.350000000000001" customHeight="1" x14ac:dyDescent="0.25">
      <c r="O731" s="74"/>
    </row>
    <row r="742" spans="15:15" ht="16.350000000000001" customHeight="1" x14ac:dyDescent="0.25">
      <c r="O742" s="74"/>
    </row>
    <row r="753" spans="15:15" ht="16.350000000000001" customHeight="1" x14ac:dyDescent="0.25">
      <c r="O753" s="74"/>
    </row>
    <row r="764" spans="15:15" ht="16.350000000000001" customHeight="1" x14ac:dyDescent="0.25">
      <c r="O764" s="74"/>
    </row>
    <row r="775" spans="15:15" ht="16.350000000000001" customHeight="1" x14ac:dyDescent="0.25">
      <c r="O775" s="74"/>
    </row>
    <row r="786" spans="15:15" ht="16.350000000000001" customHeight="1" x14ac:dyDescent="0.25">
      <c r="O786" s="74"/>
    </row>
    <row r="797" spans="15:15" ht="16.350000000000001" customHeight="1" x14ac:dyDescent="0.25">
      <c r="O797" s="74"/>
    </row>
    <row r="808" spans="15:15" ht="16.350000000000001" customHeight="1" x14ac:dyDescent="0.25">
      <c r="O808" s="74"/>
    </row>
    <row r="819" spans="15:15" ht="16.350000000000001" customHeight="1" x14ac:dyDescent="0.25">
      <c r="O819" s="74"/>
    </row>
    <row r="830" spans="15:15" ht="16.350000000000001" customHeight="1" x14ac:dyDescent="0.25">
      <c r="O830" s="74"/>
    </row>
    <row r="841" spans="15:15" ht="16.350000000000001" customHeight="1" x14ac:dyDescent="0.25">
      <c r="O841" s="74"/>
    </row>
    <row r="852" spans="15:15" ht="16.350000000000001" customHeight="1" x14ac:dyDescent="0.25">
      <c r="O852" s="74"/>
    </row>
    <row r="863" spans="15:15" ht="16.350000000000001" customHeight="1" x14ac:dyDescent="0.25">
      <c r="O863" s="74"/>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1A706-4767-46B9-B859-E6FE277A8C59}">
  <sheetPr codeName="Sheet22"/>
  <dimension ref="A1"/>
  <sheetViews>
    <sheetView workbookViewId="0">
      <selection activeCell="H81" sqref="H81"/>
    </sheetView>
  </sheetViews>
  <sheetFormatPr defaultRowHeight="15" x14ac:dyDescent="0.2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55D5C-9603-4BA2-8ACD-4F1F131BF9CC}">
  <sheetPr codeName="Sheet34"/>
  <dimension ref="A1:AD55"/>
  <sheetViews>
    <sheetView zoomScale="65" workbookViewId="0">
      <selection activeCell="B2" sqref="B2:P2"/>
    </sheetView>
  </sheetViews>
  <sheetFormatPr defaultRowHeight="15" x14ac:dyDescent="0.25"/>
  <cols>
    <col min="4" max="4" width="20.85546875" customWidth="1"/>
    <col min="7" max="7" width="29.85546875" customWidth="1"/>
  </cols>
  <sheetData>
    <row r="1" spans="1:21" s="29" customFormat="1" ht="31.5" x14ac:dyDescent="0.5">
      <c r="B1" s="78" t="s">
        <v>386</v>
      </c>
    </row>
    <row r="2" spans="1:21" x14ac:dyDescent="0.25">
      <c r="B2" s="44" t="s">
        <v>187</v>
      </c>
      <c r="C2" s="30" t="s">
        <v>19</v>
      </c>
      <c r="D2" s="30" t="s">
        <v>3</v>
      </c>
      <c r="E2" s="30" t="s">
        <v>4</v>
      </c>
      <c r="F2" s="30" t="s">
        <v>34</v>
      </c>
      <c r="G2" s="30" t="s">
        <v>5</v>
      </c>
      <c r="H2" s="30" t="s">
        <v>6</v>
      </c>
      <c r="I2" s="30" t="s">
        <v>35</v>
      </c>
      <c r="J2" s="30" t="s">
        <v>86</v>
      </c>
      <c r="K2" s="30" t="s">
        <v>15</v>
      </c>
      <c r="L2" s="30" t="s">
        <v>11</v>
      </c>
      <c r="M2" s="30" t="s">
        <v>224</v>
      </c>
      <c r="N2" s="30"/>
      <c r="O2" s="30"/>
      <c r="P2" s="30"/>
      <c r="Q2" s="30"/>
      <c r="R2" s="29"/>
      <c r="S2" s="29"/>
    </row>
    <row r="3" spans="1:21" ht="14.45" customHeight="1" x14ac:dyDescent="0.25">
      <c r="B3" s="44" t="s">
        <v>188</v>
      </c>
      <c r="C3" s="30" t="s">
        <v>2</v>
      </c>
      <c r="D3" s="30" t="s">
        <v>81</v>
      </c>
      <c r="E3" s="30" t="s">
        <v>82</v>
      </c>
      <c r="F3" s="30" t="s">
        <v>84</v>
      </c>
      <c r="G3" s="30" t="s">
        <v>77</v>
      </c>
      <c r="H3" s="30" t="s">
        <v>34</v>
      </c>
      <c r="I3" s="30" t="s">
        <v>85</v>
      </c>
      <c r="J3" s="30" t="s">
        <v>80</v>
      </c>
      <c r="K3" s="30" t="s">
        <v>35</v>
      </c>
      <c r="L3" s="30" t="s">
        <v>86</v>
      </c>
      <c r="M3" s="30" t="s">
        <v>15</v>
      </c>
      <c r="N3" s="30" t="s">
        <v>11</v>
      </c>
      <c r="O3" s="30" t="s">
        <v>224</v>
      </c>
      <c r="P3" s="30"/>
      <c r="Q3" s="30"/>
      <c r="R3" s="29"/>
      <c r="S3" s="29"/>
    </row>
    <row r="4" spans="1:21" ht="14.45" customHeight="1" x14ac:dyDescent="0.25">
      <c r="B4" s="32" t="s">
        <v>215</v>
      </c>
      <c r="C4" s="32" t="s">
        <v>119</v>
      </c>
      <c r="D4" s="32" t="s">
        <v>120</v>
      </c>
      <c r="E4" s="32" t="s">
        <v>121</v>
      </c>
      <c r="F4" s="32" t="s">
        <v>122</v>
      </c>
      <c r="G4" s="32" t="s">
        <v>123</v>
      </c>
      <c r="H4" s="32" t="s">
        <v>139</v>
      </c>
      <c r="I4" s="32" t="s">
        <v>15</v>
      </c>
      <c r="J4" s="32" t="s">
        <v>11</v>
      </c>
      <c r="K4" s="30" t="s">
        <v>288</v>
      </c>
      <c r="L4" s="32" t="s">
        <v>234</v>
      </c>
      <c r="M4" s="32" t="s">
        <v>235</v>
      </c>
      <c r="O4" s="62" t="s">
        <v>192</v>
      </c>
      <c r="P4" s="117" t="s">
        <v>293</v>
      </c>
      <c r="Q4" s="117"/>
      <c r="R4" s="117"/>
      <c r="S4" s="117"/>
      <c r="T4" s="117"/>
    </row>
    <row r="5" spans="1:21" ht="14.45" customHeight="1" x14ac:dyDescent="0.25">
      <c r="B5" s="32" t="s">
        <v>216</v>
      </c>
      <c r="C5" s="30" t="s">
        <v>81</v>
      </c>
      <c r="D5" s="30" t="s">
        <v>82</v>
      </c>
      <c r="E5" s="32" t="s">
        <v>218</v>
      </c>
      <c r="F5" s="32" t="s">
        <v>217</v>
      </c>
      <c r="G5" s="32" t="s">
        <v>121</v>
      </c>
      <c r="H5" s="32" t="s">
        <v>122</v>
      </c>
      <c r="I5" s="32" t="s">
        <v>123</v>
      </c>
      <c r="J5" s="32" t="s">
        <v>139</v>
      </c>
      <c r="K5" s="32" t="s">
        <v>15</v>
      </c>
      <c r="L5" s="32" t="s">
        <v>11</v>
      </c>
      <c r="M5" s="30" t="s">
        <v>288</v>
      </c>
      <c r="N5" s="32" t="s">
        <v>234</v>
      </c>
      <c r="O5" s="32" t="e">
        <f>IF(AND(90.7&gt;Wi,OR(AND(0.989310798&gt;RADIANS(14.5),0.989310798&lt;RADIANS(15.5)),AND(0.989310798&gt;RADIANS(89.5),0.989310798&lt;RADIANS(90.5)),AND(0.989310798&gt;RADIANS(164.5),0.989310798&lt;RADIANS(165.5)))),-1,0)</f>
        <v>#NAME?</v>
      </c>
      <c r="P5" s="117" t="s">
        <v>294</v>
      </c>
      <c r="Q5" s="117"/>
      <c r="R5" s="117"/>
      <c r="S5" s="117"/>
      <c r="T5" s="117"/>
      <c r="U5" s="117"/>
    </row>
    <row r="6" spans="1:21" x14ac:dyDescent="0.25">
      <c r="B6" s="30" t="s">
        <v>10</v>
      </c>
      <c r="C6" s="30" t="s">
        <v>81</v>
      </c>
      <c r="D6" s="30" t="s">
        <v>82</v>
      </c>
      <c r="E6" s="30" t="s">
        <v>83</v>
      </c>
      <c r="F6" s="30" t="s">
        <v>14</v>
      </c>
      <c r="G6" s="30" t="s">
        <v>77</v>
      </c>
      <c r="H6" s="30" t="s">
        <v>79</v>
      </c>
      <c r="I6" s="30" t="s">
        <v>16</v>
      </c>
      <c r="J6" s="30" t="s">
        <v>74</v>
      </c>
      <c r="K6" s="30" t="s">
        <v>15</v>
      </c>
      <c r="L6" s="30" t="s">
        <v>11</v>
      </c>
      <c r="M6" s="30" t="s">
        <v>317</v>
      </c>
      <c r="N6" s="30"/>
      <c r="O6" s="30"/>
      <c r="P6" s="30"/>
      <c r="Q6" s="30"/>
      <c r="R6" s="29"/>
      <c r="S6" s="29"/>
    </row>
    <row r="7" spans="1:21" x14ac:dyDescent="0.25">
      <c r="B7" s="30" t="s">
        <v>9</v>
      </c>
      <c r="C7" s="30" t="s">
        <v>3</v>
      </c>
      <c r="D7" s="30" t="s">
        <v>4</v>
      </c>
      <c r="E7" s="30" t="s">
        <v>5</v>
      </c>
      <c r="F7" s="30" t="s">
        <v>6</v>
      </c>
      <c r="G7" s="30" t="s">
        <v>38</v>
      </c>
      <c r="H7" s="30" t="s">
        <v>16</v>
      </c>
      <c r="I7" s="30" t="s">
        <v>15</v>
      </c>
      <c r="J7" s="30" t="s">
        <v>11</v>
      </c>
      <c r="K7" s="30" t="s">
        <v>317</v>
      </c>
      <c r="L7" s="30"/>
      <c r="M7" s="30"/>
      <c r="N7" s="30"/>
      <c r="O7" s="30"/>
      <c r="P7" s="30"/>
      <c r="Q7" s="30"/>
      <c r="R7" s="29"/>
      <c r="S7" s="29"/>
    </row>
    <row r="8" spans="1:21" x14ac:dyDescent="0.25">
      <c r="B8" s="30" t="s">
        <v>73</v>
      </c>
      <c r="C8" s="30" t="s">
        <v>81</v>
      </c>
      <c r="D8" s="30" t="s">
        <v>82</v>
      </c>
      <c r="E8" s="30" t="s">
        <v>83</v>
      </c>
      <c r="F8" s="30" t="s">
        <v>76</v>
      </c>
      <c r="G8" s="30" t="s">
        <v>78</v>
      </c>
      <c r="H8" s="30" t="s">
        <v>16</v>
      </c>
      <c r="I8" s="30" t="s">
        <v>75</v>
      </c>
      <c r="J8" s="30" t="s">
        <v>15</v>
      </c>
      <c r="K8" s="30" t="s">
        <v>11</v>
      </c>
      <c r="L8" s="30" t="s">
        <v>317</v>
      </c>
      <c r="M8" s="30"/>
      <c r="N8" s="30"/>
      <c r="O8" s="30"/>
    </row>
    <row r="9" spans="1:21" x14ac:dyDescent="0.25">
      <c r="B9" s="30" t="s">
        <v>136</v>
      </c>
    </row>
    <row r="10" spans="1:21" x14ac:dyDescent="0.25">
      <c r="B10" s="30" t="s">
        <v>57</v>
      </c>
      <c r="C10" s="30" t="s">
        <v>60</v>
      </c>
      <c r="D10" s="30" t="s">
        <v>87</v>
      </c>
      <c r="E10" s="30" t="s">
        <v>88</v>
      </c>
      <c r="F10" s="30" t="s">
        <v>89</v>
      </c>
      <c r="G10" s="30" t="s">
        <v>22</v>
      </c>
      <c r="H10" s="29"/>
      <c r="I10" s="30"/>
      <c r="J10" s="29"/>
      <c r="K10" s="29"/>
      <c r="L10" s="29"/>
      <c r="M10" s="29"/>
      <c r="N10" s="29"/>
      <c r="O10" s="29"/>
      <c r="P10" s="29"/>
      <c r="Q10" s="29"/>
      <c r="R10" s="29"/>
      <c r="S10" s="29"/>
    </row>
    <row r="11" spans="1:21" x14ac:dyDescent="0.25">
      <c r="B11" s="30" t="s">
        <v>56</v>
      </c>
      <c r="C11" s="30" t="s">
        <v>60</v>
      </c>
      <c r="D11" s="30" t="s">
        <v>81</v>
      </c>
      <c r="E11" s="30" t="s">
        <v>82</v>
      </c>
      <c r="F11" s="30" t="s">
        <v>61</v>
      </c>
      <c r="G11" s="30" t="s">
        <v>58</v>
      </c>
      <c r="H11" s="30" t="s">
        <v>22</v>
      </c>
      <c r="I11" s="29"/>
      <c r="J11" s="29"/>
      <c r="K11" s="29"/>
      <c r="L11" s="29"/>
      <c r="M11" s="29"/>
      <c r="N11" s="29"/>
      <c r="O11" s="29"/>
      <c r="P11" s="29"/>
      <c r="Q11" s="29"/>
      <c r="R11" s="29"/>
      <c r="S11" s="29"/>
    </row>
    <row r="12" spans="1:21" s="29" customFormat="1" x14ac:dyDescent="0.25">
      <c r="A12" s="34"/>
      <c r="B12" s="30" t="s">
        <v>189</v>
      </c>
      <c r="C12" s="30" t="s">
        <v>12</v>
      </c>
      <c r="D12" s="30" t="s">
        <v>162</v>
      </c>
      <c r="E12" s="30" t="s">
        <v>3</v>
      </c>
      <c r="F12" s="30" t="s">
        <v>4</v>
      </c>
      <c r="G12" s="30" t="s">
        <v>5</v>
      </c>
      <c r="H12" s="30" t="s">
        <v>6</v>
      </c>
    </row>
    <row r="13" spans="1:21" s="29" customFormat="1" x14ac:dyDescent="0.25">
      <c r="B13" s="30" t="s">
        <v>190</v>
      </c>
      <c r="C13" s="30" t="s">
        <v>12</v>
      </c>
      <c r="D13" s="30" t="s">
        <v>2</v>
      </c>
      <c r="E13" s="30" t="s">
        <v>7</v>
      </c>
      <c r="F13" s="30" t="s">
        <v>8</v>
      </c>
      <c r="G13" s="30" t="s">
        <v>163</v>
      </c>
      <c r="H13" s="30"/>
      <c r="I13" s="30" t="s">
        <v>18</v>
      </c>
    </row>
    <row r="14" spans="1:21" s="29" customFormat="1" x14ac:dyDescent="0.25">
      <c r="B14" s="30" t="s">
        <v>219</v>
      </c>
      <c r="C14" s="30" t="s">
        <v>12</v>
      </c>
      <c r="D14" s="30" t="s">
        <v>38</v>
      </c>
      <c r="E14" s="30" t="s">
        <v>220</v>
      </c>
      <c r="F14" s="30"/>
      <c r="G14" s="56" t="s">
        <v>221</v>
      </c>
      <c r="H14" s="30"/>
      <c r="I14" s="30"/>
    </row>
    <row r="15" spans="1:21" s="29" customFormat="1" x14ac:dyDescent="0.25">
      <c r="B15" s="30" t="s">
        <v>193</v>
      </c>
      <c r="C15" s="30" t="s">
        <v>12</v>
      </c>
      <c r="D15" s="30" t="s">
        <v>33</v>
      </c>
      <c r="E15" s="30" t="s">
        <v>22</v>
      </c>
      <c r="F15" s="30" t="s">
        <v>13</v>
      </c>
      <c r="J15" s="56" t="s">
        <v>90</v>
      </c>
    </row>
    <row r="16" spans="1:21" s="29" customFormat="1" x14ac:dyDescent="0.25">
      <c r="B16" s="30" t="s">
        <v>308</v>
      </c>
      <c r="C16" s="30" t="s">
        <v>12</v>
      </c>
      <c r="D16" s="30" t="s">
        <v>22</v>
      </c>
      <c r="E16" s="30" t="s">
        <v>87</v>
      </c>
      <c r="F16" s="30" t="s">
        <v>88</v>
      </c>
      <c r="G16" s="30" t="s">
        <v>89</v>
      </c>
      <c r="H16" s="30" t="s">
        <v>81</v>
      </c>
      <c r="I16" s="30" t="s">
        <v>82</v>
      </c>
      <c r="J16" s="30" t="s">
        <v>61</v>
      </c>
      <c r="K16" s="30" t="s">
        <v>307</v>
      </c>
      <c r="M16" s="71" t="s">
        <v>306</v>
      </c>
      <c r="N16" s="70" t="s">
        <v>305</v>
      </c>
      <c r="O16" s="52" t="s">
        <v>313</v>
      </c>
    </row>
    <row r="17" spans="1:30" s="29" customFormat="1" x14ac:dyDescent="0.25">
      <c r="B17" s="30" t="s">
        <v>136</v>
      </c>
      <c r="C17" s="30"/>
      <c r="D17" s="30"/>
      <c r="E17" s="30"/>
      <c r="F17" s="30"/>
      <c r="G17" s="30"/>
      <c r="H17" s="30"/>
      <c r="I17" s="30"/>
    </row>
    <row r="18" spans="1:30" s="29" customFormat="1" x14ac:dyDescent="0.25">
      <c r="B18" s="30" t="s">
        <v>40</v>
      </c>
      <c r="C18" s="30" t="s">
        <v>69</v>
      </c>
      <c r="D18" s="30" t="s">
        <v>197</v>
      </c>
      <c r="E18" s="30" t="s">
        <v>199</v>
      </c>
      <c r="F18" s="30" t="s">
        <v>198</v>
      </c>
      <c r="G18" s="30"/>
      <c r="H18" s="30"/>
      <c r="I18" s="30"/>
      <c r="J18" s="30"/>
      <c r="K18" s="30"/>
      <c r="L18" s="30"/>
      <c r="M18" s="30"/>
      <c r="N18" s="30"/>
      <c r="O18" s="30"/>
      <c r="P18" s="30"/>
      <c r="Q18" s="30"/>
    </row>
    <row r="19" spans="1:30" s="29" customFormat="1" x14ac:dyDescent="0.25">
      <c r="B19" s="30" t="s">
        <v>51</v>
      </c>
      <c r="C19" s="30" t="s">
        <v>52</v>
      </c>
      <c r="D19" s="30" t="s">
        <v>53</v>
      </c>
      <c r="E19" s="30" t="s">
        <v>52</v>
      </c>
      <c r="F19" s="30" t="s">
        <v>53</v>
      </c>
      <c r="G19" s="30" t="s">
        <v>52</v>
      </c>
      <c r="H19" s="30" t="s">
        <v>53</v>
      </c>
      <c r="I19" s="30" t="s">
        <v>52</v>
      </c>
      <c r="J19" s="30" t="s">
        <v>53</v>
      </c>
      <c r="K19" s="30" t="s">
        <v>52</v>
      </c>
      <c r="L19" s="30" t="s">
        <v>53</v>
      </c>
      <c r="O19" s="34" t="s">
        <v>385</v>
      </c>
    </row>
    <row r="20" spans="1:30" s="34" customFormat="1" ht="54.75" customHeight="1" x14ac:dyDescent="0.25">
      <c r="B20" s="34" t="s">
        <v>136</v>
      </c>
    </row>
    <row r="21" spans="1:30" s="29" customFormat="1" ht="132.6" customHeight="1" x14ac:dyDescent="0.25">
      <c r="B21" s="52" t="s">
        <v>54</v>
      </c>
      <c r="C21" s="53" t="s">
        <v>184</v>
      </c>
      <c r="D21" s="53" t="s">
        <v>185</v>
      </c>
      <c r="E21" s="53" t="s">
        <v>186</v>
      </c>
      <c r="F21" s="54" t="s">
        <v>55</v>
      </c>
      <c r="G21" s="119" t="s">
        <v>183</v>
      </c>
      <c r="H21" s="119"/>
      <c r="I21" s="119"/>
      <c r="J21" s="119"/>
      <c r="K21" s="119"/>
      <c r="L21" s="119"/>
      <c r="M21" s="119"/>
      <c r="N21" s="119"/>
      <c r="O21" s="119"/>
      <c r="P21" s="52"/>
      <c r="Q21" s="52"/>
      <c r="R21" s="52"/>
      <c r="S21" s="52"/>
    </row>
    <row r="22" spans="1:30" s="29" customFormat="1" x14ac:dyDescent="0.25">
      <c r="B22" s="52"/>
      <c r="C22" s="52"/>
      <c r="D22" s="52"/>
      <c r="E22" s="52"/>
      <c r="F22" s="52"/>
      <c r="G22" s="52"/>
      <c r="H22" s="52"/>
      <c r="I22" s="52"/>
      <c r="J22" s="52"/>
      <c r="K22" s="52"/>
      <c r="L22" s="52"/>
      <c r="M22" s="52"/>
      <c r="N22" s="52"/>
      <c r="O22" s="52"/>
      <c r="P22" s="52"/>
      <c r="Q22" s="52"/>
      <c r="R22" s="52"/>
      <c r="S22" s="52"/>
    </row>
    <row r="23" spans="1:30" s="29" customFormat="1" x14ac:dyDescent="0.25">
      <c r="B23" s="52"/>
      <c r="C23" s="52"/>
      <c r="D23" s="52"/>
      <c r="E23" s="52"/>
      <c r="F23" s="52"/>
      <c r="G23" s="52" t="s">
        <v>15</v>
      </c>
      <c r="H23" s="52" t="s">
        <v>28</v>
      </c>
      <c r="J23" s="55" t="s">
        <v>227</v>
      </c>
      <c r="K23" s="52"/>
      <c r="L23" s="52"/>
      <c r="M23" s="52"/>
      <c r="Q23" s="52"/>
      <c r="R23" s="52"/>
      <c r="S23" s="52"/>
    </row>
    <row r="24" spans="1:30" s="29" customFormat="1" x14ac:dyDescent="0.25">
      <c r="B24" s="52"/>
      <c r="C24" s="52"/>
      <c r="D24" s="52"/>
      <c r="E24" s="52"/>
      <c r="F24" s="52"/>
      <c r="G24" s="52" t="s">
        <v>25</v>
      </c>
      <c r="H24" s="52" t="s">
        <v>28</v>
      </c>
      <c r="J24" s="55" t="s">
        <v>228</v>
      </c>
      <c r="K24" s="52"/>
      <c r="L24" s="52"/>
      <c r="M24" s="52"/>
      <c r="N24" s="52"/>
      <c r="O24" s="52"/>
      <c r="P24" s="52"/>
      <c r="Q24" s="52"/>
      <c r="R24" s="52"/>
      <c r="S24" s="52"/>
      <c r="AA24" s="52"/>
      <c r="AB24" s="52"/>
      <c r="AC24" s="52"/>
    </row>
    <row r="25" spans="1:30" s="29" customFormat="1" x14ac:dyDescent="0.25">
      <c r="B25" s="52"/>
      <c r="C25" s="52"/>
      <c r="D25" s="52"/>
      <c r="E25" s="52"/>
      <c r="F25" s="52"/>
      <c r="G25" s="52" t="s">
        <v>11</v>
      </c>
      <c r="H25" s="52" t="s">
        <v>28</v>
      </c>
      <c r="J25" s="52" t="s">
        <v>229</v>
      </c>
      <c r="K25" s="52"/>
      <c r="L25" s="52"/>
      <c r="M25" s="52"/>
      <c r="R25" s="52"/>
      <c r="S25" s="52"/>
      <c r="AC25" s="52"/>
      <c r="AD25" s="52"/>
    </row>
    <row r="26" spans="1:30" s="29" customFormat="1" x14ac:dyDescent="0.25">
      <c r="B26" s="52"/>
      <c r="C26" s="52"/>
      <c r="D26" s="52"/>
      <c r="E26" s="52"/>
      <c r="F26" s="52"/>
      <c r="G26" s="52" t="s">
        <v>176</v>
      </c>
      <c r="H26" s="52" t="s">
        <v>28</v>
      </c>
      <c r="J26" s="52" t="s">
        <v>230</v>
      </c>
      <c r="K26" s="52"/>
      <c r="L26" s="52"/>
      <c r="M26" s="52"/>
      <c r="N26" s="52"/>
      <c r="O26" s="52"/>
    </row>
    <row r="27" spans="1:30" s="29" customFormat="1" x14ac:dyDescent="0.25">
      <c r="B27" s="52"/>
      <c r="C27" s="52"/>
      <c r="D27" s="52"/>
      <c r="E27" s="52"/>
      <c r="F27" s="52"/>
      <c r="G27" s="52" t="s">
        <v>175</v>
      </c>
      <c r="H27" s="52" t="s">
        <v>28</v>
      </c>
      <c r="J27" s="52" t="s">
        <v>231</v>
      </c>
      <c r="K27" s="52"/>
      <c r="L27" s="52"/>
      <c r="M27" s="52"/>
      <c r="N27" s="52"/>
    </row>
    <row r="28" spans="1:30" s="29" customFormat="1" x14ac:dyDescent="0.25">
      <c r="B28" s="52"/>
      <c r="C28" s="52"/>
      <c r="D28" s="52"/>
      <c r="E28" s="52"/>
      <c r="F28" s="52"/>
      <c r="G28" s="52" t="s">
        <v>174</v>
      </c>
      <c r="H28" s="52" t="s">
        <v>28</v>
      </c>
      <c r="J28" s="55" t="s">
        <v>232</v>
      </c>
      <c r="K28" s="52"/>
      <c r="L28" s="52"/>
      <c r="M28" s="52"/>
      <c r="N28" s="52"/>
    </row>
    <row r="29" spans="1:30" s="29" customFormat="1" x14ac:dyDescent="0.25">
      <c r="A29" s="30"/>
      <c r="B29" s="52"/>
      <c r="C29" s="52"/>
      <c r="D29" s="52"/>
      <c r="E29" s="52"/>
      <c r="F29" s="52"/>
      <c r="G29" s="52" t="s">
        <v>26</v>
      </c>
      <c r="H29" s="52" t="s">
        <v>81</v>
      </c>
      <c r="I29" s="52" t="s">
        <v>82</v>
      </c>
      <c r="J29" s="52" t="s">
        <v>302</v>
      </c>
      <c r="K29" s="52" t="s">
        <v>296</v>
      </c>
      <c r="L29" s="52" t="s">
        <v>143</v>
      </c>
      <c r="M29" s="52" t="s">
        <v>144</v>
      </c>
      <c r="N29" s="52"/>
      <c r="O29" s="56" t="s">
        <v>291</v>
      </c>
    </row>
    <row r="30" spans="1:30" s="29" customFormat="1" ht="14.45" customHeight="1" x14ac:dyDescent="0.25">
      <c r="A30" s="30"/>
      <c r="B30" s="52"/>
      <c r="C30" s="52"/>
      <c r="D30" s="52"/>
      <c r="E30" s="52"/>
      <c r="F30" s="52"/>
      <c r="G30" s="52" t="s">
        <v>27</v>
      </c>
      <c r="H30" s="52" t="s">
        <v>81</v>
      </c>
      <c r="I30" s="52" t="s">
        <v>82</v>
      </c>
      <c r="J30" s="52" t="s">
        <v>302</v>
      </c>
      <c r="K30" s="52" t="s">
        <v>296</v>
      </c>
      <c r="L30" s="52" t="s">
        <v>143</v>
      </c>
      <c r="M30" s="52" t="s">
        <v>144</v>
      </c>
      <c r="N30" s="52"/>
      <c r="O30" s="56" t="s">
        <v>233</v>
      </c>
      <c r="P30" s="52"/>
    </row>
    <row r="31" spans="1:30" s="29" customFormat="1" ht="14.45" customHeight="1" x14ac:dyDescent="0.25">
      <c r="B31" s="52"/>
      <c r="C31" s="52"/>
      <c r="D31" s="52"/>
      <c r="E31" s="52"/>
      <c r="F31" s="52"/>
      <c r="G31" s="52" t="s">
        <v>213</v>
      </c>
      <c r="H31" s="52" t="s">
        <v>81</v>
      </c>
      <c r="I31" s="52" t="s">
        <v>82</v>
      </c>
      <c r="J31" s="52" t="s">
        <v>303</v>
      </c>
      <c r="K31" s="52" t="s">
        <v>214</v>
      </c>
      <c r="L31" s="57" t="s">
        <v>301</v>
      </c>
      <c r="M31" s="52" t="s">
        <v>143</v>
      </c>
      <c r="N31" s="52" t="s">
        <v>144</v>
      </c>
      <c r="O31" s="52"/>
      <c r="P31" s="56" t="s">
        <v>292</v>
      </c>
      <c r="R31" s="67" t="s">
        <v>295</v>
      </c>
    </row>
    <row r="32" spans="1:30" s="29" customFormat="1" ht="14.45" customHeight="1" x14ac:dyDescent="0.25">
      <c r="A32" s="34"/>
      <c r="B32" s="52"/>
      <c r="C32" s="52"/>
      <c r="D32" s="52"/>
      <c r="E32" s="52"/>
      <c r="F32" s="52"/>
      <c r="G32" s="52" t="s">
        <v>30</v>
      </c>
      <c r="H32" s="52" t="s">
        <v>31</v>
      </c>
      <c r="I32" s="52" t="s">
        <v>32</v>
      </c>
      <c r="J32" s="52" t="s">
        <v>124</v>
      </c>
      <c r="K32" s="52" t="s">
        <v>143</v>
      </c>
      <c r="L32" s="52" t="s">
        <v>144</v>
      </c>
      <c r="M32" s="52"/>
      <c r="N32" s="52"/>
      <c r="O32" s="52"/>
      <c r="P32" s="52"/>
      <c r="Q32" s="52"/>
      <c r="R32" s="52"/>
      <c r="S32" s="52"/>
    </row>
    <row r="33" spans="1:21" s="29" customFormat="1" ht="14.45" customHeight="1" x14ac:dyDescent="0.25">
      <c r="B33" s="52"/>
      <c r="C33" s="52"/>
      <c r="D33" s="52"/>
      <c r="E33" s="52"/>
      <c r="F33" s="52"/>
      <c r="G33" s="52" t="s">
        <v>29</v>
      </c>
      <c r="H33" s="52" t="s">
        <v>31</v>
      </c>
      <c r="I33" s="52" t="s">
        <v>32</v>
      </c>
      <c r="J33" s="52" t="s">
        <v>124</v>
      </c>
      <c r="K33" s="52" t="s">
        <v>143</v>
      </c>
      <c r="L33" s="52" t="s">
        <v>144</v>
      </c>
      <c r="M33" s="52"/>
      <c r="N33" s="52"/>
      <c r="O33" s="52"/>
      <c r="P33" s="52"/>
      <c r="Q33" s="52"/>
      <c r="R33" s="52"/>
      <c r="S33" s="52"/>
    </row>
    <row r="34" spans="1:21" s="33" customFormat="1" ht="14.45" customHeight="1" x14ac:dyDescent="0.25">
      <c r="B34" s="57"/>
      <c r="C34" s="57"/>
      <c r="D34" s="57"/>
      <c r="E34" s="57"/>
      <c r="F34" s="57"/>
      <c r="G34" s="52" t="s">
        <v>164</v>
      </c>
      <c r="H34" s="52" t="s">
        <v>31</v>
      </c>
      <c r="I34" s="52" t="s">
        <v>32</v>
      </c>
      <c r="J34" s="52" t="s">
        <v>124</v>
      </c>
      <c r="K34" s="52" t="s">
        <v>143</v>
      </c>
      <c r="L34" s="52" t="s">
        <v>144</v>
      </c>
      <c r="M34" s="52"/>
      <c r="N34" s="29"/>
      <c r="O34" s="52"/>
      <c r="P34" s="52"/>
      <c r="Q34" s="29"/>
      <c r="R34" s="29"/>
      <c r="S34" s="29"/>
      <c r="T34" s="29"/>
      <c r="U34" s="29"/>
    </row>
    <row r="35" spans="1:21" s="29" customFormat="1" x14ac:dyDescent="0.25">
      <c r="B35" s="52"/>
      <c r="C35" s="52"/>
      <c r="D35" s="52"/>
      <c r="E35" s="52"/>
      <c r="F35" s="52"/>
      <c r="G35" s="57" t="s">
        <v>180</v>
      </c>
      <c r="H35" s="57" t="s">
        <v>299</v>
      </c>
      <c r="I35" s="57" t="s">
        <v>300</v>
      </c>
      <c r="J35" s="57" t="s">
        <v>301</v>
      </c>
      <c r="K35" s="57" t="s">
        <v>143</v>
      </c>
      <c r="L35" s="57" t="s">
        <v>144</v>
      </c>
      <c r="M35" s="68" t="s">
        <v>191</v>
      </c>
      <c r="O35" s="33"/>
      <c r="P35" s="33"/>
      <c r="Q35" s="117" t="s">
        <v>181</v>
      </c>
      <c r="R35" s="118"/>
      <c r="S35" s="118"/>
      <c r="T35" s="118"/>
      <c r="U35" s="118"/>
    </row>
    <row r="36" spans="1:21" s="29" customFormat="1" x14ac:dyDescent="0.25">
      <c r="G36" s="52" t="s">
        <v>70</v>
      </c>
      <c r="H36" s="52" t="s">
        <v>71</v>
      </c>
      <c r="I36" s="52" t="s">
        <v>53</v>
      </c>
      <c r="J36" s="52"/>
      <c r="K36" s="52"/>
      <c r="L36" s="52"/>
      <c r="M36" s="55" t="s">
        <v>72</v>
      </c>
      <c r="N36" s="52"/>
      <c r="O36" s="52"/>
      <c r="Q36" s="52"/>
      <c r="R36" s="52"/>
      <c r="S36" s="52"/>
    </row>
    <row r="37" spans="1:21" s="29" customFormat="1" x14ac:dyDescent="0.25">
      <c r="G37" s="52" t="s">
        <v>68</v>
      </c>
      <c r="H37" s="52" t="s">
        <v>71</v>
      </c>
      <c r="I37" s="52" t="s">
        <v>53</v>
      </c>
      <c r="J37" s="52"/>
      <c r="K37" s="52"/>
      <c r="L37" s="52"/>
      <c r="M37" s="55" t="s">
        <v>72</v>
      </c>
      <c r="N37" s="52"/>
      <c r="O37" s="52"/>
      <c r="P37" s="52"/>
      <c r="Q37" s="52"/>
      <c r="R37" s="52"/>
    </row>
    <row r="38" spans="1:21" s="29" customFormat="1" x14ac:dyDescent="0.25">
      <c r="G38" s="52" t="s">
        <v>225</v>
      </c>
      <c r="H38" s="52" t="s">
        <v>28</v>
      </c>
      <c r="I38" s="55" t="s">
        <v>226</v>
      </c>
      <c r="P38" s="52"/>
      <c r="S38" s="52"/>
    </row>
    <row r="39" spans="1:21" s="29" customFormat="1" x14ac:dyDescent="0.25"/>
    <row r="40" spans="1:21" s="29" customFormat="1" x14ac:dyDescent="0.25"/>
    <row r="41" spans="1:21" s="33" customFormat="1" x14ac:dyDescent="0.25">
      <c r="A41" s="31"/>
    </row>
    <row r="42" spans="1:21" s="29" customFormat="1" ht="93.75" customHeight="1" x14ac:dyDescent="0.25">
      <c r="B42" s="64" t="s">
        <v>289</v>
      </c>
      <c r="C42" s="64" t="s">
        <v>12</v>
      </c>
      <c r="D42" s="120" t="s">
        <v>290</v>
      </c>
      <c r="E42" s="120"/>
      <c r="F42" s="120"/>
      <c r="G42" s="120"/>
      <c r="H42" s="120"/>
      <c r="I42" s="120"/>
      <c r="J42" s="120"/>
      <c r="K42" s="120"/>
      <c r="L42" s="120"/>
      <c r="M42" s="120"/>
      <c r="N42" s="120"/>
      <c r="O42" s="120"/>
    </row>
    <row r="43" spans="1:21" s="29" customFormat="1" x14ac:dyDescent="0.25">
      <c r="B43" s="64"/>
      <c r="C43" s="64"/>
      <c r="D43" s="64"/>
      <c r="E43" s="64"/>
      <c r="F43" s="64"/>
      <c r="G43" s="64"/>
      <c r="H43" s="64"/>
      <c r="I43" s="64"/>
      <c r="J43" s="64"/>
      <c r="K43" s="64"/>
      <c r="L43" s="64"/>
      <c r="M43" s="64"/>
      <c r="N43" s="64"/>
      <c r="O43" s="64"/>
    </row>
    <row r="44" spans="1:21" x14ac:dyDescent="0.25">
      <c r="B44" s="65"/>
      <c r="C44" s="65"/>
      <c r="D44" s="65" t="s">
        <v>30</v>
      </c>
      <c r="E44" s="65" t="s">
        <v>31</v>
      </c>
      <c r="F44" s="65" t="s">
        <v>32</v>
      </c>
      <c r="G44" s="65" t="s">
        <v>124</v>
      </c>
      <c r="H44" s="64" t="s">
        <v>143</v>
      </c>
      <c r="I44" s="64" t="s">
        <v>144</v>
      </c>
      <c r="J44" s="65"/>
      <c r="K44" s="65"/>
      <c r="L44" s="65"/>
      <c r="M44" s="65"/>
      <c r="N44" s="65"/>
      <c r="O44" s="65"/>
    </row>
    <row r="45" spans="1:21" x14ac:dyDescent="0.25">
      <c r="B45" s="65"/>
      <c r="C45" s="65"/>
      <c r="D45" s="65" t="s">
        <v>180</v>
      </c>
      <c r="E45" s="66" t="s">
        <v>119</v>
      </c>
      <c r="F45" s="66" t="s">
        <v>120</v>
      </c>
      <c r="G45" s="66" t="s">
        <v>121</v>
      </c>
      <c r="H45" s="64" t="s">
        <v>143</v>
      </c>
      <c r="I45" s="64" t="s">
        <v>144</v>
      </c>
      <c r="J45" s="65"/>
      <c r="K45" s="65"/>
      <c r="L45" s="65"/>
      <c r="M45" s="69" t="s">
        <v>191</v>
      </c>
      <c r="N45" s="29"/>
      <c r="O45" s="33"/>
      <c r="P45" s="117" t="s">
        <v>181</v>
      </c>
      <c r="Q45" s="118"/>
      <c r="R45" s="118"/>
      <c r="S45" s="118"/>
      <c r="T45" s="118"/>
    </row>
    <row r="46" spans="1:21" x14ac:dyDescent="0.25">
      <c r="B46" s="65"/>
      <c r="C46" s="65"/>
      <c r="D46" s="65" t="s">
        <v>26</v>
      </c>
      <c r="E46" s="64" t="s">
        <v>81</v>
      </c>
      <c r="F46" s="64" t="s">
        <v>82</v>
      </c>
      <c r="G46" s="64" t="s">
        <v>297</v>
      </c>
      <c r="H46" s="64" t="s">
        <v>296</v>
      </c>
      <c r="I46" s="64" t="s">
        <v>143</v>
      </c>
      <c r="J46" s="64" t="s">
        <v>144</v>
      </c>
      <c r="K46" s="65"/>
      <c r="L46" s="65"/>
      <c r="M46" s="65"/>
      <c r="N46" s="65"/>
      <c r="O46" s="55" t="s">
        <v>291</v>
      </c>
    </row>
    <row r="47" spans="1:21" ht="14.45" customHeight="1" x14ac:dyDescent="0.25">
      <c r="B47" s="65"/>
      <c r="C47" s="65"/>
      <c r="D47" s="65" t="s">
        <v>213</v>
      </c>
      <c r="E47" s="64" t="s">
        <v>81</v>
      </c>
      <c r="F47" s="64" t="s">
        <v>82</v>
      </c>
      <c r="G47" s="64" t="s">
        <v>298</v>
      </c>
      <c r="H47" s="64" t="s">
        <v>214</v>
      </c>
      <c r="I47" s="66" t="s">
        <v>301</v>
      </c>
      <c r="J47" s="64" t="s">
        <v>143</v>
      </c>
      <c r="K47" s="64" t="s">
        <v>144</v>
      </c>
      <c r="L47" s="65"/>
      <c r="M47" s="65"/>
      <c r="N47" s="65"/>
      <c r="O47" s="55" t="s">
        <v>292</v>
      </c>
      <c r="P47" s="67" t="s">
        <v>295</v>
      </c>
    </row>
    <row r="48" spans="1:21" x14ac:dyDescent="0.25">
      <c r="B48" s="65"/>
      <c r="C48" s="65"/>
      <c r="D48" s="65"/>
      <c r="E48" s="65"/>
      <c r="F48" s="65"/>
      <c r="G48" s="65"/>
      <c r="H48" s="65"/>
      <c r="I48" s="65"/>
      <c r="J48" s="65"/>
      <c r="K48" s="65"/>
      <c r="L48" s="65"/>
      <c r="M48" s="65"/>
      <c r="N48" s="65"/>
      <c r="O48" s="65"/>
    </row>
    <row r="49" spans="2:15" x14ac:dyDescent="0.25">
      <c r="B49" s="65"/>
      <c r="C49" s="65"/>
      <c r="D49" s="65"/>
      <c r="E49" s="65"/>
      <c r="F49" s="65"/>
      <c r="G49" s="65"/>
      <c r="H49" s="65"/>
      <c r="I49" s="65"/>
      <c r="J49" s="65"/>
      <c r="K49" s="65"/>
      <c r="L49" s="65"/>
      <c r="M49" s="65"/>
      <c r="N49" s="65"/>
      <c r="O49" s="65"/>
    </row>
    <row r="50" spans="2:15" x14ac:dyDescent="0.25">
      <c r="B50" s="65"/>
      <c r="C50" s="65"/>
      <c r="D50" s="65"/>
      <c r="E50" s="65"/>
      <c r="F50" s="65"/>
      <c r="G50" s="65"/>
      <c r="H50" s="65"/>
      <c r="I50" s="65"/>
      <c r="J50" s="65"/>
      <c r="K50" s="65"/>
      <c r="L50" s="65"/>
      <c r="M50" s="65"/>
      <c r="N50" s="65"/>
      <c r="O50" s="65"/>
    </row>
    <row r="51" spans="2:15" x14ac:dyDescent="0.25">
      <c r="B51" s="65"/>
      <c r="C51" s="65"/>
      <c r="D51" s="65"/>
      <c r="E51" s="65"/>
      <c r="F51" s="65"/>
      <c r="G51" s="65"/>
      <c r="H51" s="65"/>
      <c r="I51" s="65"/>
      <c r="J51" s="65"/>
      <c r="K51" s="65"/>
      <c r="L51" s="65"/>
      <c r="M51" s="65"/>
      <c r="N51" s="65"/>
      <c r="O51" s="65"/>
    </row>
    <row r="52" spans="2:15" x14ac:dyDescent="0.25">
      <c r="B52" s="65"/>
      <c r="C52" s="65"/>
      <c r="D52" s="65"/>
      <c r="E52" s="65"/>
      <c r="F52" s="65"/>
      <c r="G52" s="65"/>
      <c r="H52" s="65"/>
      <c r="I52" s="65"/>
      <c r="J52" s="65"/>
      <c r="K52" s="65"/>
      <c r="L52" s="65"/>
      <c r="M52" s="65"/>
      <c r="N52" s="65"/>
      <c r="O52" s="65"/>
    </row>
    <row r="54" spans="2:15" x14ac:dyDescent="0.25">
      <c r="B54" s="65"/>
      <c r="C54" s="65"/>
      <c r="D54" s="65"/>
      <c r="E54" s="65"/>
      <c r="F54" s="65"/>
      <c r="G54" s="65"/>
      <c r="H54" s="65"/>
      <c r="I54" s="65"/>
      <c r="J54" s="65"/>
      <c r="K54" s="65"/>
      <c r="L54" s="65"/>
      <c r="M54" s="65"/>
      <c r="N54" s="65"/>
      <c r="O54" s="65"/>
    </row>
    <row r="55" spans="2:15" x14ac:dyDescent="0.25">
      <c r="B55" s="65"/>
      <c r="C55" s="65"/>
      <c r="D55" s="65"/>
      <c r="E55" s="65"/>
      <c r="F55" s="65"/>
      <c r="G55" s="65"/>
      <c r="H55" s="65"/>
      <c r="I55" s="65"/>
      <c r="J55" s="65"/>
      <c r="K55" s="65"/>
      <c r="L55" s="65"/>
      <c r="M55" s="65"/>
      <c r="N55" s="65"/>
      <c r="O55" s="65"/>
    </row>
  </sheetData>
  <mergeCells count="6">
    <mergeCell ref="P45:T45"/>
    <mergeCell ref="P5:U5"/>
    <mergeCell ref="G21:O21"/>
    <mergeCell ref="Q35:U35"/>
    <mergeCell ref="P4:T4"/>
    <mergeCell ref="D42:O42"/>
  </mergeCell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1149F-4528-4767-A024-E6A86B81A139}">
  <sheetPr codeName="Sheet2"/>
  <dimension ref="A1:T1900"/>
  <sheetViews>
    <sheetView zoomScale="75" zoomScaleNormal="85" workbookViewId="0"/>
  </sheetViews>
  <sheetFormatPr defaultRowHeight="15" x14ac:dyDescent="0.25"/>
  <cols>
    <col min="1" max="1" width="11.5703125" customWidth="1"/>
    <col min="2" max="7" width="5.85546875" customWidth="1"/>
    <col min="8" max="8" width="10.85546875" bestFit="1" customWidth="1"/>
    <col min="9" max="9" width="11.140625" bestFit="1" customWidth="1"/>
    <col min="10" max="10" width="9" customWidth="1"/>
    <col min="11" max="13" width="15.140625" customWidth="1"/>
    <col min="14" max="14" width="17.85546875" customWidth="1"/>
    <col min="15" max="15" width="16.42578125" style="61" customWidth="1"/>
    <col min="16" max="16" width="36.140625" customWidth="1"/>
    <col min="30" max="30" width="33.5703125" bestFit="1" customWidth="1"/>
    <col min="31" max="31" width="25.140625" bestFit="1" customWidth="1"/>
  </cols>
  <sheetData>
    <row r="1" spans="1:19" x14ac:dyDescent="0.25">
      <c r="A1" t="s">
        <v>49</v>
      </c>
      <c r="B1" t="s">
        <v>3</v>
      </c>
      <c r="C1" t="s">
        <v>4</v>
      </c>
      <c r="D1" t="s">
        <v>34</v>
      </c>
      <c r="E1" t="s">
        <v>5</v>
      </c>
      <c r="F1" t="s">
        <v>6</v>
      </c>
      <c r="G1" t="s">
        <v>35</v>
      </c>
      <c r="H1" t="s">
        <v>15</v>
      </c>
      <c r="I1" t="s">
        <v>11</v>
      </c>
      <c r="J1" t="s">
        <v>48</v>
      </c>
      <c r="K1" t="s">
        <v>125</v>
      </c>
      <c r="L1" t="s">
        <v>246</v>
      </c>
      <c r="M1" t="s">
        <v>67</v>
      </c>
      <c r="N1" t="s">
        <v>36</v>
      </c>
      <c r="O1" s="61" t="s">
        <v>177</v>
      </c>
      <c r="P1" t="s">
        <v>37</v>
      </c>
    </row>
    <row r="3" spans="1:19" x14ac:dyDescent="0.25">
      <c r="S3" s="48"/>
    </row>
    <row r="4" spans="1:19" x14ac:dyDescent="0.25">
      <c r="S4" s="48"/>
    </row>
    <row r="5" spans="1:19" x14ac:dyDescent="0.25">
      <c r="S5" s="48"/>
    </row>
    <row r="6" spans="1:19" x14ac:dyDescent="0.25">
      <c r="S6" s="48"/>
    </row>
    <row r="7" spans="1:19" x14ac:dyDescent="0.25">
      <c r="S7" s="48"/>
    </row>
    <row r="8" spans="1:19" x14ac:dyDescent="0.25">
      <c r="S8" s="48"/>
    </row>
    <row r="9" spans="1:19" x14ac:dyDescent="0.25">
      <c r="S9" s="48"/>
    </row>
    <row r="10" spans="1:19" x14ac:dyDescent="0.25">
      <c r="S10" s="48"/>
    </row>
    <row r="11" spans="1:19" x14ac:dyDescent="0.25">
      <c r="S11" s="48"/>
    </row>
    <row r="12" spans="1:19" x14ac:dyDescent="0.25">
      <c r="S12" s="48"/>
    </row>
    <row r="13" spans="1:19" x14ac:dyDescent="0.25">
      <c r="S13" s="48"/>
    </row>
    <row r="14" spans="1:19" x14ac:dyDescent="0.25">
      <c r="S14" s="48"/>
    </row>
    <row r="15" spans="1:19" x14ac:dyDescent="0.25">
      <c r="S15" s="48"/>
    </row>
    <row r="16" spans="1:19" x14ac:dyDescent="0.25">
      <c r="S16" s="48"/>
    </row>
    <row r="17" spans="19:19" x14ac:dyDescent="0.25">
      <c r="S17" s="48"/>
    </row>
    <row r="1888" spans="20:20" x14ac:dyDescent="0.25">
      <c r="T1888" t="s">
        <v>50</v>
      </c>
    </row>
    <row r="1889" spans="20:20" x14ac:dyDescent="0.25">
      <c r="T1889" t="s">
        <v>59</v>
      </c>
    </row>
    <row r="1890" spans="20:20" x14ac:dyDescent="0.25">
      <c r="T1890" t="s">
        <v>64</v>
      </c>
    </row>
    <row r="1891" spans="20:20" x14ac:dyDescent="0.25">
      <c r="T1891" t="s">
        <v>65</v>
      </c>
    </row>
    <row r="1892" spans="20:20" x14ac:dyDescent="0.25">
      <c r="T1892" t="s">
        <v>63</v>
      </c>
    </row>
    <row r="1893" spans="20:20" x14ac:dyDescent="0.25">
      <c r="T1893" t="s">
        <v>66</v>
      </c>
    </row>
    <row r="1894" spans="20:20" x14ac:dyDescent="0.25">
      <c r="T1894" t="s">
        <v>65</v>
      </c>
    </row>
    <row r="1895" spans="20:20" x14ac:dyDescent="0.25">
      <c r="T1895" t="s">
        <v>63</v>
      </c>
    </row>
    <row r="1896" spans="20:20" x14ac:dyDescent="0.25">
      <c r="T1896" t="s">
        <v>66</v>
      </c>
    </row>
    <row r="1897" spans="20:20" x14ac:dyDescent="0.25">
      <c r="T1897" t="s">
        <v>65</v>
      </c>
    </row>
    <row r="1898" spans="20:20" x14ac:dyDescent="0.25">
      <c r="T1898" t="s">
        <v>63</v>
      </c>
    </row>
    <row r="1899" spans="20:20" x14ac:dyDescent="0.25">
      <c r="T1899" t="s">
        <v>66</v>
      </c>
    </row>
    <row r="1900" spans="20:20" x14ac:dyDescent="0.25">
      <c r="T1900" t="s">
        <v>62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6DAA7D-721D-4C7A-ADA6-008AD6DC0121}">
  <sheetPr codeName="Sheet3"/>
  <dimension ref="A1:B35"/>
  <sheetViews>
    <sheetView workbookViewId="0">
      <selection activeCell="B25" sqref="B25"/>
    </sheetView>
  </sheetViews>
  <sheetFormatPr defaultRowHeight="15" x14ac:dyDescent="0.25"/>
  <cols>
    <col min="2" max="2" width="26.5703125" customWidth="1"/>
    <col min="16" max="16" width="50.7109375" customWidth="1"/>
  </cols>
  <sheetData>
    <row r="1" spans="1:2" x14ac:dyDescent="0.25">
      <c r="A1" t="s">
        <v>133</v>
      </c>
      <c r="B1" t="s">
        <v>195</v>
      </c>
    </row>
    <row r="3" spans="1:2" x14ac:dyDescent="0.25">
      <c r="B3" t="s">
        <v>149</v>
      </c>
    </row>
    <row r="4" spans="1:2" x14ac:dyDescent="0.25">
      <c r="B4" t="s">
        <v>150</v>
      </c>
    </row>
    <row r="5" spans="1:2" x14ac:dyDescent="0.25">
      <c r="B5" t="s">
        <v>151</v>
      </c>
    </row>
    <row r="6" spans="1:2" x14ac:dyDescent="0.25">
      <c r="B6" t="s">
        <v>152</v>
      </c>
    </row>
    <row r="7" spans="1:2" x14ac:dyDescent="0.25">
      <c r="B7" t="s">
        <v>153</v>
      </c>
    </row>
    <row r="8" spans="1:2" x14ac:dyDescent="0.25">
      <c r="B8" t="s">
        <v>212</v>
      </c>
    </row>
    <row r="9" spans="1:2" x14ac:dyDescent="0.25">
      <c r="B9" t="s">
        <v>109</v>
      </c>
    </row>
    <row r="10" spans="1:2" x14ac:dyDescent="0.25">
      <c r="B10" t="s">
        <v>154</v>
      </c>
    </row>
    <row r="11" spans="1:2" x14ac:dyDescent="0.25">
      <c r="B11" t="s">
        <v>155</v>
      </c>
    </row>
    <row r="12" spans="1:2" x14ac:dyDescent="0.25">
      <c r="B12" t="s">
        <v>156</v>
      </c>
    </row>
    <row r="13" spans="1:2" x14ac:dyDescent="0.25">
      <c r="B13" t="s">
        <v>92</v>
      </c>
    </row>
    <row r="14" spans="1:2" x14ac:dyDescent="0.25">
      <c r="B14" t="s">
        <v>157</v>
      </c>
    </row>
    <row r="15" spans="1:2" x14ac:dyDescent="0.25">
      <c r="B15" t="s">
        <v>92</v>
      </c>
    </row>
    <row r="16" spans="1:2" x14ac:dyDescent="0.25">
      <c r="B16" t="s">
        <v>135</v>
      </c>
    </row>
    <row r="17" spans="2:2" x14ac:dyDescent="0.25">
      <c r="B17" t="s">
        <v>93</v>
      </c>
    </row>
    <row r="18" spans="2:2" x14ac:dyDescent="0.25">
      <c r="B18" t="s">
        <v>158</v>
      </c>
    </row>
    <row r="19" spans="2:2" x14ac:dyDescent="0.25">
      <c r="B19" t="s">
        <v>159</v>
      </c>
    </row>
    <row r="21" spans="2:2" x14ac:dyDescent="0.25">
      <c r="B21" t="s">
        <v>160</v>
      </c>
    </row>
    <row r="23" spans="2:2" x14ac:dyDescent="0.25">
      <c r="B23" t="str">
        <f>CONCATENATE("M140 S",BedTemp)</f>
        <v>M140 S60</v>
      </c>
    </row>
    <row r="24" spans="2:2" x14ac:dyDescent="0.25">
      <c r="B24" t="str">
        <f>CONCATENATE("M104 S",NozzleTemp)</f>
        <v>M104 S210</v>
      </c>
    </row>
    <row r="25" spans="2:2" x14ac:dyDescent="0.25">
      <c r="B25" t="str">
        <f>CONCATENATE("M109 S",NozzleTemp)</f>
        <v>M109 S210</v>
      </c>
    </row>
    <row r="26" spans="2:2" x14ac:dyDescent="0.25">
      <c r="B26" t="str">
        <f>CONCATENATE("M190 S",BedTemp)</f>
        <v>M190 S60</v>
      </c>
    </row>
    <row r="28" spans="2:2" x14ac:dyDescent="0.25">
      <c r="B28" t="str">
        <f>CONCATENATE("M106 S",FanSpeed, " ; set fan speed")</f>
        <v>M106 S0 ; set fan speed</v>
      </c>
    </row>
    <row r="30" spans="2:2" x14ac:dyDescent="0.25">
      <c r="B30" t="s">
        <v>168</v>
      </c>
    </row>
    <row r="32" spans="2:2" x14ac:dyDescent="0.25">
      <c r="B32" t="s">
        <v>101</v>
      </c>
    </row>
    <row r="33" spans="2:2" x14ac:dyDescent="0.25">
      <c r="B33" t="s">
        <v>136</v>
      </c>
    </row>
    <row r="34" spans="2:2" x14ac:dyDescent="0.25">
      <c r="B34" t="s">
        <v>161</v>
      </c>
    </row>
    <row r="35" spans="2:2" x14ac:dyDescent="0.25">
      <c r="B35" t="s">
        <v>136</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9E341-25DE-4953-AD6F-DED3AF39F8F5}">
  <sheetPr codeName="Sheet4"/>
  <dimension ref="A1:B33"/>
  <sheetViews>
    <sheetView zoomScaleNormal="100" workbookViewId="0">
      <selection activeCell="B2" sqref="B2:B33"/>
    </sheetView>
  </sheetViews>
  <sheetFormatPr defaultRowHeight="15" x14ac:dyDescent="0.25"/>
  <sheetData>
    <row r="1" spans="1:2" x14ac:dyDescent="0.25">
      <c r="A1" t="s">
        <v>137</v>
      </c>
      <c r="B1" t="s">
        <v>165</v>
      </c>
    </row>
    <row r="3" spans="1:2" x14ac:dyDescent="0.25">
      <c r="B3" t="s">
        <v>148</v>
      </c>
    </row>
    <row r="5" spans="1:2" x14ac:dyDescent="0.25">
      <c r="B5" t="s">
        <v>169</v>
      </c>
    </row>
    <row r="6" spans="1:2" x14ac:dyDescent="0.25">
      <c r="B6" t="s">
        <v>94</v>
      </c>
    </row>
    <row r="8" spans="1:2" x14ac:dyDescent="0.25">
      <c r="B8" t="s">
        <v>146</v>
      </c>
    </row>
    <row r="9" spans="1:2" x14ac:dyDescent="0.25">
      <c r="B9" t="s">
        <v>109</v>
      </c>
    </row>
    <row r="10" spans="1:2" x14ac:dyDescent="0.25">
      <c r="B10" t="s">
        <v>110</v>
      </c>
    </row>
    <row r="11" spans="1:2" x14ac:dyDescent="0.25">
      <c r="B11" t="s">
        <v>136</v>
      </c>
    </row>
    <row r="12" spans="1:2" x14ac:dyDescent="0.25">
      <c r="B12" t="s">
        <v>136</v>
      </c>
    </row>
    <row r="13" spans="1:2" x14ac:dyDescent="0.25">
      <c r="B13" t="s">
        <v>136</v>
      </c>
    </row>
    <row r="15" spans="1:2" x14ac:dyDescent="0.25">
      <c r="B15" t="s">
        <v>102</v>
      </c>
    </row>
    <row r="16" spans="1:2" x14ac:dyDescent="0.25">
      <c r="B16" t="s">
        <v>103</v>
      </c>
    </row>
    <row r="17" spans="2:2" x14ac:dyDescent="0.25">
      <c r="B17" t="s">
        <v>104</v>
      </c>
    </row>
    <row r="18" spans="2:2" x14ac:dyDescent="0.25">
      <c r="B18" t="s">
        <v>105</v>
      </c>
    </row>
    <row r="19" spans="2:2" x14ac:dyDescent="0.25">
      <c r="B19" t="s">
        <v>106</v>
      </c>
    </row>
    <row r="20" spans="2:2" x14ac:dyDescent="0.25">
      <c r="B20" t="s">
        <v>107</v>
      </c>
    </row>
    <row r="21" spans="2:2" x14ac:dyDescent="0.25">
      <c r="B21" t="s">
        <v>108</v>
      </c>
    </row>
    <row r="23" spans="2:2" x14ac:dyDescent="0.25">
      <c r="B23" t="s">
        <v>110</v>
      </c>
    </row>
    <row r="24" spans="2:2" x14ac:dyDescent="0.25">
      <c r="B24" t="s">
        <v>111</v>
      </c>
    </row>
    <row r="25" spans="2:2" x14ac:dyDescent="0.25">
      <c r="B25" t="s">
        <v>112</v>
      </c>
    </row>
    <row r="26" spans="2:2" x14ac:dyDescent="0.25">
      <c r="B26" t="s">
        <v>113</v>
      </c>
    </row>
    <row r="27" spans="2:2" x14ac:dyDescent="0.25">
      <c r="B27" t="s">
        <v>114</v>
      </c>
    </row>
    <row r="28" spans="2:2" x14ac:dyDescent="0.25">
      <c r="B28" t="s">
        <v>115</v>
      </c>
    </row>
    <row r="29" spans="2:2" x14ac:dyDescent="0.25">
      <c r="B29" t="s">
        <v>116</v>
      </c>
    </row>
    <row r="30" spans="2:2" x14ac:dyDescent="0.25">
      <c r="B30" t="s">
        <v>117</v>
      </c>
    </row>
    <row r="31" spans="2:2" x14ac:dyDescent="0.25">
      <c r="B31" t="s">
        <v>118</v>
      </c>
    </row>
    <row r="33" spans="2:2" x14ac:dyDescent="0.25">
      <c r="B33" t="s">
        <v>147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E7FBF-83A5-4365-8127-C228CBC6B239}">
  <sheetPr codeName="Sheet16"/>
  <dimension ref="A1:P175"/>
  <sheetViews>
    <sheetView zoomScaleNormal="100" workbookViewId="0">
      <selection activeCell="B3" sqref="B3:B90"/>
    </sheetView>
  </sheetViews>
  <sheetFormatPr defaultRowHeight="15" x14ac:dyDescent="0.25"/>
  <cols>
    <col min="1" max="16" width="14.7109375" bestFit="1" customWidth="1"/>
  </cols>
  <sheetData>
    <row r="1" spans="1:16" x14ac:dyDescent="0.25">
      <c r="A1" t="s">
        <v>137</v>
      </c>
      <c r="B1" t="s">
        <v>247</v>
      </c>
    </row>
    <row r="3" spans="1:16" s="63" customFormat="1" x14ac:dyDescent="0.25">
      <c r="A3" s="63" t="s">
        <v>238</v>
      </c>
      <c r="B3" s="63" t="s">
        <v>238</v>
      </c>
      <c r="C3" s="63" t="s">
        <v>238</v>
      </c>
      <c r="D3" s="63" t="s">
        <v>238</v>
      </c>
      <c r="E3" s="63" t="s">
        <v>238</v>
      </c>
      <c r="F3" s="63" t="s">
        <v>238</v>
      </c>
      <c r="G3" s="63" t="s">
        <v>238</v>
      </c>
      <c r="H3" s="63" t="s">
        <v>238</v>
      </c>
      <c r="I3" s="63" t="s">
        <v>238</v>
      </c>
      <c r="J3" s="63" t="s">
        <v>238</v>
      </c>
      <c r="K3" s="63" t="s">
        <v>238</v>
      </c>
      <c r="L3" s="63" t="s">
        <v>238</v>
      </c>
      <c r="M3" s="63" t="s">
        <v>238</v>
      </c>
      <c r="N3" s="63" t="s">
        <v>238</v>
      </c>
      <c r="O3" s="63" t="s">
        <v>238</v>
      </c>
      <c r="P3" s="63" t="s">
        <v>238</v>
      </c>
    </row>
    <row r="4" spans="1:16" x14ac:dyDescent="0.25">
      <c r="B4" t="s">
        <v>248</v>
      </c>
    </row>
    <row r="5" spans="1:16" x14ac:dyDescent="0.25">
      <c r="B5" t="s">
        <v>249</v>
      </c>
    </row>
    <row r="6" spans="1:16" x14ac:dyDescent="0.25">
      <c r="B6" t="s">
        <v>250</v>
      </c>
    </row>
    <row r="7" spans="1:16" x14ac:dyDescent="0.25">
      <c r="B7" t="s">
        <v>251</v>
      </c>
    </row>
    <row r="8" spans="1:16" x14ac:dyDescent="0.25">
      <c r="B8" t="s">
        <v>252</v>
      </c>
    </row>
    <row r="14" spans="1:16" s="63" customFormat="1" x14ac:dyDescent="0.25">
      <c r="A14" s="63" t="s">
        <v>239</v>
      </c>
      <c r="B14" s="63" t="s">
        <v>239</v>
      </c>
      <c r="C14" s="63" t="s">
        <v>239</v>
      </c>
      <c r="D14" s="63" t="s">
        <v>239</v>
      </c>
      <c r="E14" s="63" t="s">
        <v>239</v>
      </c>
      <c r="F14" s="63" t="s">
        <v>239</v>
      </c>
      <c r="G14" s="63" t="s">
        <v>239</v>
      </c>
      <c r="H14" s="63" t="s">
        <v>239</v>
      </c>
      <c r="I14" s="63" t="s">
        <v>239</v>
      </c>
      <c r="J14" s="63" t="s">
        <v>239</v>
      </c>
      <c r="K14" s="63" t="s">
        <v>239</v>
      </c>
      <c r="L14" s="63" t="s">
        <v>239</v>
      </c>
      <c r="M14" s="63" t="s">
        <v>239</v>
      </c>
      <c r="N14" s="63" t="s">
        <v>239</v>
      </c>
      <c r="O14" s="63" t="s">
        <v>239</v>
      </c>
      <c r="P14" s="63" t="s">
        <v>239</v>
      </c>
    </row>
    <row r="15" spans="1:16" x14ac:dyDescent="0.25">
      <c r="B15" t="s">
        <v>253</v>
      </c>
    </row>
    <row r="16" spans="1:16" s="63" customFormat="1" x14ac:dyDescent="0.25">
      <c r="B16" t="s">
        <v>254</v>
      </c>
    </row>
    <row r="17" spans="1:16" s="63" customFormat="1" x14ac:dyDescent="0.25">
      <c r="B17" t="s">
        <v>255</v>
      </c>
    </row>
    <row r="18" spans="1:16" s="63" customFormat="1" x14ac:dyDescent="0.25">
      <c r="B18" t="s">
        <v>256</v>
      </c>
    </row>
    <row r="19" spans="1:16" s="63" customFormat="1" x14ac:dyDescent="0.25">
      <c r="B19" t="s">
        <v>257</v>
      </c>
    </row>
    <row r="25" spans="1:16" s="63" customFormat="1" x14ac:dyDescent="0.25">
      <c r="A25" s="63" t="s">
        <v>240</v>
      </c>
      <c r="B25" s="63" t="s">
        <v>240</v>
      </c>
      <c r="C25" s="63" t="s">
        <v>240</v>
      </c>
      <c r="D25" s="63" t="s">
        <v>240</v>
      </c>
      <c r="E25" s="63" t="s">
        <v>240</v>
      </c>
      <c r="F25" s="63" t="s">
        <v>240</v>
      </c>
      <c r="G25" s="63" t="s">
        <v>240</v>
      </c>
      <c r="H25" s="63" t="s">
        <v>240</v>
      </c>
      <c r="I25" s="63" t="s">
        <v>240</v>
      </c>
      <c r="J25" s="63" t="s">
        <v>240</v>
      </c>
      <c r="K25" s="63" t="s">
        <v>240</v>
      </c>
      <c r="L25" s="63" t="s">
        <v>240</v>
      </c>
      <c r="M25" s="63" t="s">
        <v>240</v>
      </c>
      <c r="N25" s="63" t="s">
        <v>240</v>
      </c>
      <c r="O25" s="63" t="s">
        <v>240</v>
      </c>
      <c r="P25" s="63" t="s">
        <v>240</v>
      </c>
    </row>
    <row r="26" spans="1:16" x14ac:dyDescent="0.25">
      <c r="B26" t="s">
        <v>258</v>
      </c>
    </row>
    <row r="27" spans="1:16" s="63" customFormat="1" x14ac:dyDescent="0.25">
      <c r="B27" t="s">
        <v>259</v>
      </c>
    </row>
    <row r="28" spans="1:16" s="63" customFormat="1" x14ac:dyDescent="0.25">
      <c r="B28" t="s">
        <v>260</v>
      </c>
    </row>
    <row r="29" spans="1:16" s="63" customFormat="1" x14ac:dyDescent="0.25">
      <c r="B29" t="s">
        <v>261</v>
      </c>
    </row>
    <row r="30" spans="1:16" s="63" customFormat="1" x14ac:dyDescent="0.25">
      <c r="B30" t="s">
        <v>262</v>
      </c>
    </row>
    <row r="36" spans="1:16" s="63" customFormat="1" x14ac:dyDescent="0.25">
      <c r="A36" s="63" t="s">
        <v>241</v>
      </c>
      <c r="B36" s="63" t="s">
        <v>241</v>
      </c>
      <c r="C36" s="63" t="s">
        <v>241</v>
      </c>
      <c r="D36" s="63" t="s">
        <v>241</v>
      </c>
      <c r="E36" s="63" t="s">
        <v>241</v>
      </c>
      <c r="F36" s="63" t="s">
        <v>241</v>
      </c>
      <c r="G36" s="63" t="s">
        <v>241</v>
      </c>
      <c r="H36" s="63" t="s">
        <v>241</v>
      </c>
      <c r="I36" s="63" t="s">
        <v>241</v>
      </c>
      <c r="J36" s="63" t="s">
        <v>241</v>
      </c>
      <c r="K36" s="63" t="s">
        <v>241</v>
      </c>
      <c r="L36" s="63" t="s">
        <v>241</v>
      </c>
      <c r="M36" s="63" t="s">
        <v>241</v>
      </c>
      <c r="N36" s="63" t="s">
        <v>241</v>
      </c>
      <c r="O36" s="63" t="s">
        <v>241</v>
      </c>
      <c r="P36" s="63" t="s">
        <v>241</v>
      </c>
    </row>
    <row r="37" spans="1:16" x14ac:dyDescent="0.25">
      <c r="B37" t="s">
        <v>263</v>
      </c>
    </row>
    <row r="38" spans="1:16" s="63" customFormat="1" x14ac:dyDescent="0.25">
      <c r="B38" t="s">
        <v>264</v>
      </c>
    </row>
    <row r="39" spans="1:16" s="63" customFormat="1" x14ac:dyDescent="0.25">
      <c r="B39" t="s">
        <v>265</v>
      </c>
    </row>
    <row r="40" spans="1:16" s="63" customFormat="1" x14ac:dyDescent="0.25">
      <c r="B40" t="s">
        <v>266</v>
      </c>
    </row>
    <row r="41" spans="1:16" s="63" customFormat="1" x14ac:dyDescent="0.25">
      <c r="B41" t="s">
        <v>267</v>
      </c>
    </row>
    <row r="47" spans="1:16" s="63" customFormat="1" x14ac:dyDescent="0.25">
      <c r="A47" s="63" t="s">
        <v>242</v>
      </c>
      <c r="B47" s="63" t="s">
        <v>242</v>
      </c>
      <c r="C47" s="63" t="s">
        <v>242</v>
      </c>
      <c r="D47" s="63" t="s">
        <v>242</v>
      </c>
      <c r="E47" s="63" t="s">
        <v>242</v>
      </c>
      <c r="F47" s="63" t="s">
        <v>242</v>
      </c>
      <c r="G47" s="63" t="s">
        <v>242</v>
      </c>
      <c r="H47" s="63" t="s">
        <v>242</v>
      </c>
      <c r="I47" s="63" t="s">
        <v>242</v>
      </c>
      <c r="J47" s="63" t="s">
        <v>242</v>
      </c>
      <c r="K47" s="63" t="s">
        <v>242</v>
      </c>
      <c r="L47" s="63" t="s">
        <v>242</v>
      </c>
      <c r="M47" s="63" t="s">
        <v>242</v>
      </c>
      <c r="N47" s="63" t="s">
        <v>242</v>
      </c>
      <c r="O47" s="63" t="s">
        <v>242</v>
      </c>
      <c r="P47" s="63" t="s">
        <v>242</v>
      </c>
    </row>
    <row r="48" spans="1:16" x14ac:dyDescent="0.25">
      <c r="B48" t="s">
        <v>269</v>
      </c>
    </row>
    <row r="49" spans="1:16" s="63" customFormat="1" x14ac:dyDescent="0.25">
      <c r="B49" t="s">
        <v>268</v>
      </c>
    </row>
    <row r="50" spans="1:16" s="63" customFormat="1" x14ac:dyDescent="0.25">
      <c r="B50" t="s">
        <v>270</v>
      </c>
    </row>
    <row r="51" spans="1:16" s="63" customFormat="1" x14ac:dyDescent="0.25">
      <c r="B51" t="s">
        <v>271</v>
      </c>
    </row>
    <row r="52" spans="1:16" s="63" customFormat="1" x14ac:dyDescent="0.25">
      <c r="B52" t="s">
        <v>272</v>
      </c>
    </row>
    <row r="58" spans="1:16" s="63" customFormat="1" x14ac:dyDescent="0.25">
      <c r="A58" s="63" t="s">
        <v>243</v>
      </c>
      <c r="B58" s="63" t="s">
        <v>243</v>
      </c>
      <c r="C58" s="63" t="s">
        <v>243</v>
      </c>
      <c r="D58" s="63" t="s">
        <v>243</v>
      </c>
      <c r="E58" s="63" t="s">
        <v>243</v>
      </c>
      <c r="F58" s="63" t="s">
        <v>243</v>
      </c>
      <c r="G58" s="63" t="s">
        <v>243</v>
      </c>
      <c r="H58" s="63" t="s">
        <v>243</v>
      </c>
      <c r="I58" s="63" t="s">
        <v>243</v>
      </c>
      <c r="J58" s="63" t="s">
        <v>243</v>
      </c>
      <c r="K58" s="63" t="s">
        <v>243</v>
      </c>
      <c r="L58" s="63" t="s">
        <v>243</v>
      </c>
      <c r="M58" s="63" t="s">
        <v>243</v>
      </c>
      <c r="N58" s="63" t="s">
        <v>243</v>
      </c>
      <c r="O58" s="63" t="s">
        <v>243</v>
      </c>
      <c r="P58" s="63" t="s">
        <v>243</v>
      </c>
    </row>
    <row r="59" spans="1:16" x14ac:dyDescent="0.25">
      <c r="B59" t="s">
        <v>273</v>
      </c>
    </row>
    <row r="60" spans="1:16" s="63" customFormat="1" x14ac:dyDescent="0.25">
      <c r="B60" t="s">
        <v>274</v>
      </c>
    </row>
    <row r="61" spans="1:16" s="63" customFormat="1" x14ac:dyDescent="0.25">
      <c r="B61" t="s">
        <v>275</v>
      </c>
    </row>
    <row r="62" spans="1:16" s="63" customFormat="1" x14ac:dyDescent="0.25">
      <c r="B62" t="s">
        <v>276</v>
      </c>
    </row>
    <row r="63" spans="1:16" s="63" customFormat="1" x14ac:dyDescent="0.25">
      <c r="B63" t="s">
        <v>277</v>
      </c>
    </row>
    <row r="69" spans="1:16" s="63" customFormat="1" x14ac:dyDescent="0.25">
      <c r="A69" s="63" t="s">
        <v>244</v>
      </c>
      <c r="B69" s="63" t="s">
        <v>244</v>
      </c>
      <c r="C69" s="63" t="s">
        <v>244</v>
      </c>
      <c r="D69" s="63" t="s">
        <v>244</v>
      </c>
      <c r="E69" s="63" t="s">
        <v>244</v>
      </c>
      <c r="F69" s="63" t="s">
        <v>244</v>
      </c>
      <c r="G69" s="63" t="s">
        <v>244</v>
      </c>
      <c r="H69" s="63" t="s">
        <v>244</v>
      </c>
      <c r="I69" s="63" t="s">
        <v>244</v>
      </c>
      <c r="J69" s="63" t="s">
        <v>244</v>
      </c>
      <c r="K69" s="63" t="s">
        <v>244</v>
      </c>
      <c r="L69" s="63" t="s">
        <v>244</v>
      </c>
      <c r="M69" s="63" t="s">
        <v>244</v>
      </c>
      <c r="N69" s="63" t="s">
        <v>244</v>
      </c>
      <c r="O69" s="63" t="s">
        <v>244</v>
      </c>
      <c r="P69" s="63" t="s">
        <v>244</v>
      </c>
    </row>
    <row r="70" spans="1:16" x14ac:dyDescent="0.25">
      <c r="B70" t="s">
        <v>278</v>
      </c>
    </row>
    <row r="71" spans="1:16" s="63" customFormat="1" x14ac:dyDescent="0.25">
      <c r="B71" t="s">
        <v>279</v>
      </c>
    </row>
    <row r="72" spans="1:16" s="63" customFormat="1" x14ac:dyDescent="0.25">
      <c r="B72" t="s">
        <v>280</v>
      </c>
    </row>
    <row r="73" spans="1:16" s="63" customFormat="1" x14ac:dyDescent="0.25">
      <c r="B73" t="s">
        <v>281</v>
      </c>
    </row>
    <row r="74" spans="1:16" s="63" customFormat="1" x14ac:dyDescent="0.25">
      <c r="B74" t="s">
        <v>282</v>
      </c>
    </row>
    <row r="80" spans="1:16" s="63" customFormat="1" x14ac:dyDescent="0.25">
      <c r="A80" s="63" t="s">
        <v>245</v>
      </c>
      <c r="B80" s="63" t="s">
        <v>245</v>
      </c>
      <c r="C80" s="63" t="s">
        <v>245</v>
      </c>
      <c r="D80" s="63" t="s">
        <v>245</v>
      </c>
      <c r="E80" s="63" t="s">
        <v>245</v>
      </c>
      <c r="F80" s="63" t="s">
        <v>245</v>
      </c>
      <c r="G80" s="63" t="s">
        <v>245</v>
      </c>
      <c r="H80" s="63" t="s">
        <v>245</v>
      </c>
      <c r="I80" s="63" t="s">
        <v>245</v>
      </c>
      <c r="J80" s="63" t="s">
        <v>245</v>
      </c>
      <c r="K80" s="63" t="s">
        <v>245</v>
      </c>
      <c r="L80" s="63" t="s">
        <v>245</v>
      </c>
      <c r="M80" s="63" t="s">
        <v>245</v>
      </c>
      <c r="N80" s="63" t="s">
        <v>245</v>
      </c>
      <c r="O80" s="63" t="s">
        <v>245</v>
      </c>
      <c r="P80" s="63" t="s">
        <v>245</v>
      </c>
    </row>
    <row r="81" spans="2:2" x14ac:dyDescent="0.25">
      <c r="B81" t="s">
        <v>283</v>
      </c>
    </row>
    <row r="82" spans="2:2" s="63" customFormat="1" x14ac:dyDescent="0.25">
      <c r="B82" t="s">
        <v>284</v>
      </c>
    </row>
    <row r="83" spans="2:2" s="63" customFormat="1" x14ac:dyDescent="0.25">
      <c r="B83" t="s">
        <v>285</v>
      </c>
    </row>
    <row r="84" spans="2:2" s="63" customFormat="1" x14ac:dyDescent="0.25">
      <c r="B84" t="s">
        <v>286</v>
      </c>
    </row>
    <row r="85" spans="2:2" s="63" customFormat="1" x14ac:dyDescent="0.25">
      <c r="B85" t="s">
        <v>287</v>
      </c>
    </row>
    <row r="92" spans="2:2" s="63" customFormat="1" x14ac:dyDescent="0.25">
      <c r="B92"/>
    </row>
    <row r="93" spans="2:2" s="63" customFormat="1" x14ac:dyDescent="0.25">
      <c r="B93"/>
    </row>
    <row r="94" spans="2:2" s="63" customFormat="1" x14ac:dyDescent="0.25">
      <c r="B94"/>
    </row>
    <row r="95" spans="2:2" s="63" customFormat="1" x14ac:dyDescent="0.25">
      <c r="B95"/>
    </row>
    <row r="102" spans="2:2" s="63" customFormat="1" x14ac:dyDescent="0.25">
      <c r="B102"/>
    </row>
    <row r="103" spans="2:2" s="63" customFormat="1" x14ac:dyDescent="0.25">
      <c r="B103"/>
    </row>
    <row r="104" spans="2:2" s="63" customFormat="1" x14ac:dyDescent="0.25">
      <c r="B104"/>
    </row>
    <row r="105" spans="2:2" s="63" customFormat="1" x14ac:dyDescent="0.25">
      <c r="B105"/>
    </row>
    <row r="112" spans="2:2" s="63" customFormat="1" x14ac:dyDescent="0.25">
      <c r="B112"/>
    </row>
    <row r="113" spans="2:2" s="63" customFormat="1" x14ac:dyDescent="0.25">
      <c r="B113"/>
    </row>
    <row r="114" spans="2:2" s="63" customFormat="1" x14ac:dyDescent="0.25">
      <c r="B114"/>
    </row>
    <row r="115" spans="2:2" s="63" customFormat="1" x14ac:dyDescent="0.25">
      <c r="B115"/>
    </row>
    <row r="122" spans="2:2" s="63" customFormat="1" x14ac:dyDescent="0.25">
      <c r="B122"/>
    </row>
    <row r="123" spans="2:2" s="63" customFormat="1" x14ac:dyDescent="0.25">
      <c r="B123"/>
    </row>
    <row r="124" spans="2:2" s="63" customFormat="1" x14ac:dyDescent="0.25">
      <c r="B124"/>
    </row>
    <row r="125" spans="2:2" s="63" customFormat="1" x14ac:dyDescent="0.25">
      <c r="B125"/>
    </row>
    <row r="132" spans="2:2" s="63" customFormat="1" x14ac:dyDescent="0.25">
      <c r="B132"/>
    </row>
    <row r="133" spans="2:2" s="63" customFormat="1" x14ac:dyDescent="0.25">
      <c r="B133"/>
    </row>
    <row r="134" spans="2:2" s="63" customFormat="1" x14ac:dyDescent="0.25">
      <c r="B134"/>
    </row>
    <row r="135" spans="2:2" s="63" customFormat="1" x14ac:dyDescent="0.25">
      <c r="B135"/>
    </row>
    <row r="142" spans="2:2" s="63" customFormat="1" x14ac:dyDescent="0.25">
      <c r="B142"/>
    </row>
    <row r="143" spans="2:2" s="63" customFormat="1" x14ac:dyDescent="0.25">
      <c r="B143"/>
    </row>
    <row r="144" spans="2:2" s="63" customFormat="1" x14ac:dyDescent="0.25">
      <c r="B144"/>
    </row>
    <row r="145" spans="2:2" s="63" customFormat="1" x14ac:dyDescent="0.25">
      <c r="B145"/>
    </row>
    <row r="152" spans="2:2" s="63" customFormat="1" x14ac:dyDescent="0.25">
      <c r="B152"/>
    </row>
    <row r="153" spans="2:2" s="63" customFormat="1" x14ac:dyDescent="0.25">
      <c r="B153"/>
    </row>
    <row r="154" spans="2:2" s="63" customFormat="1" x14ac:dyDescent="0.25">
      <c r="B154"/>
    </row>
    <row r="155" spans="2:2" s="63" customFormat="1" x14ac:dyDescent="0.25">
      <c r="B155"/>
    </row>
    <row r="162" spans="2:2" s="63" customFormat="1" x14ac:dyDescent="0.25">
      <c r="B162"/>
    </row>
    <row r="163" spans="2:2" s="63" customFormat="1" x14ac:dyDescent="0.25">
      <c r="B163"/>
    </row>
    <row r="164" spans="2:2" s="63" customFormat="1" x14ac:dyDescent="0.25">
      <c r="B164"/>
    </row>
    <row r="165" spans="2:2" s="63" customFormat="1" x14ac:dyDescent="0.25">
      <c r="B165"/>
    </row>
    <row r="172" spans="2:2" s="63" customFormat="1" x14ac:dyDescent="0.25">
      <c r="B172"/>
    </row>
    <row r="173" spans="2:2" s="63" customFormat="1" x14ac:dyDescent="0.25">
      <c r="B173"/>
    </row>
    <row r="174" spans="2:2" s="63" customFormat="1" x14ac:dyDescent="0.25">
      <c r="B174"/>
    </row>
    <row r="175" spans="2:2" s="63" customFormat="1" x14ac:dyDescent="0.25">
      <c r="B175"/>
    </row>
  </sheetData>
  <phoneticPr fontId="9"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756AA6-D710-448F-A8F9-41B803730AF2}">
  <sheetPr codeName="Sheet6"/>
  <dimension ref="A1"/>
  <sheetViews>
    <sheetView zoomScale="71" zoomScaleNormal="71"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A82312C98C3CA4F8F63AD88277E495C" ma:contentTypeVersion="13" ma:contentTypeDescription="Create a new document." ma:contentTypeScope="" ma:versionID="b6ff50c4e6f342c6bdac3c1fae75f559">
  <xsd:schema xmlns:xsd="http://www.w3.org/2001/XMLSchema" xmlns:xs="http://www.w3.org/2001/XMLSchema" xmlns:p="http://schemas.microsoft.com/office/2006/metadata/properties" xmlns:ns3="046716d4-1118-46ce-9483-fc825268af21" xmlns:ns4="78b0240c-893e-435c-a908-db33e87398c4" targetNamespace="http://schemas.microsoft.com/office/2006/metadata/properties" ma:root="true" ma:fieldsID="1f9b45ac987b419d4ad1f5935a3da757" ns3:_="" ns4:_="">
    <xsd:import namespace="046716d4-1118-46ce-9483-fc825268af21"/>
    <xsd:import namespace="78b0240c-893e-435c-a908-db33e87398c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GenerationTime" minOccurs="0"/>
                <xsd:element ref="ns4:MediaServiceEventHashCode"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46716d4-1118-46ce-9483-fc825268af21"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8b0240c-893e-435c-a908-db33e87398c4"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BAABEC-A3F2-489D-9D14-703016C2B37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46716d4-1118-46ce-9483-fc825268af21"/>
    <ds:schemaRef ds:uri="78b0240c-893e-435c-a908-db33e87398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411A2381-6922-413F-BA4F-340F34FD9335}">
  <ds:schemaRefs>
    <ds:schemaRef ds:uri="http://schemas.microsoft.com/sharepoint/v3/contenttype/forms"/>
  </ds:schemaRefs>
</ds:datastoreItem>
</file>

<file path=customXml/itemProps3.xml><?xml version="1.0" encoding="utf-8"?>
<ds:datastoreItem xmlns:ds="http://schemas.openxmlformats.org/officeDocument/2006/customXml" ds:itemID="{2F9C9E91-6A56-4810-A396-0F988C602AFA}">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8</vt:i4>
      </vt:variant>
    </vt:vector>
  </HeadingPairs>
  <TitlesOfParts>
    <vt:vector size="20" baseType="lpstr">
      <vt:lpstr>Main Sheet</vt:lpstr>
      <vt:lpstr>MyDesigns</vt:lpstr>
      <vt:lpstr>Demos</vt:lpstr>
      <vt:lpstr>FullControlPaperExamples</vt:lpstr>
      <vt:lpstr>RepFeatList</vt:lpstr>
      <vt:lpstr>RecycleBin</vt:lpstr>
      <vt:lpstr>FeatParams</vt:lpstr>
      <vt:lpstr>Printpath</vt:lpstr>
      <vt:lpstr>StartGCODE</vt:lpstr>
      <vt:lpstr>EndGCODE</vt:lpstr>
      <vt:lpstr>ToolGCODE</vt:lpstr>
      <vt:lpstr>GCODE</vt:lpstr>
      <vt:lpstr>BedTemp</vt:lpstr>
      <vt:lpstr>FanSpeed</vt:lpstr>
      <vt:lpstr>GaugeThickness</vt:lpstr>
      <vt:lpstr>LayerHeight</vt:lpstr>
      <vt:lpstr>NozzleFeedratePrinting</vt:lpstr>
      <vt:lpstr>NozzleFeedrateTravelling</vt:lpstr>
      <vt:lpstr>NozzleTemp</vt:lpstr>
      <vt:lpstr>ShoulderThickness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Gleadall</dc:creator>
  <cp:lastModifiedBy>Andy Gleadall</cp:lastModifiedBy>
  <dcterms:created xsi:type="dcterms:W3CDTF">2019-02-26T06:58:24Z</dcterms:created>
  <dcterms:modified xsi:type="dcterms:W3CDTF">2020-09-09T15:27:03Z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0x010100CA82312C98C3CA4F8F63AD88277E495C</vt:lpwstr>
  </property>
</Properties>
</file>