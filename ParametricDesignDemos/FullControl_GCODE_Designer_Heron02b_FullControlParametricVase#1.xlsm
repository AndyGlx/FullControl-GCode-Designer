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373" documentId="8_{1262E5E7-58E9-47D4-8042-850F4ABAF7D2}" xr6:coauthVersionLast="46" xr6:coauthVersionMax="46" xr10:uidLastSave="{DC315ABA-FF21-42C4-8CA7-6D18324A6976}"/>
  <bookViews>
    <workbookView xWindow="-98" yWindow="-98" windowWidth="20715" windowHeight="13276" xr2:uid="{8C30A96A-85E0-4C72-B123-4A0D915360FC}"/>
  </bookViews>
  <sheets>
    <sheet name="Main Sheet" sheetId="1" r:id="rId1"/>
    <sheet name="ParametricRipples" sheetId="71" r:id="rId2"/>
    <sheet name="ParametricVases" sheetId="72" r:id="rId3"/>
    <sheet name="MyDesigns" sheetId="64" r:id="rId4"/>
    <sheet name="Demos" sheetId="63" r:id="rId5"/>
    <sheet name="FullControlPaperExamples" sheetId="62" r:id="rId6"/>
    <sheet name="RepFeatList" sheetId="53" r:id="rId7"/>
    <sheet name="RecycleBin" sheetId="23" r:id="rId8"/>
    <sheet name="FeatParams" sheetId="35" r:id="rId9"/>
    <sheet name="Printpath" sheetId="2" r:id="rId10"/>
    <sheet name="StartGCODE" sheetId="4" r:id="rId11"/>
    <sheet name="EndGCODE" sheetId="5" r:id="rId12"/>
    <sheet name="ToolGCODE" sheetId="51" r:id="rId13"/>
    <sheet name="GCODE" sheetId="6" r:id="rId14"/>
    <sheet name="Changelog" sheetId="70" r:id="rId15"/>
  </sheets>
  <functionGroups builtInGroupCount="19"/>
  <definedNames>
    <definedName name="BedTemp">'Main Sheet'!$T$15</definedName>
    <definedName name="Bulge">'Main Sheet'!$T$46</definedName>
    <definedName name="DesignID">'Main Sheet'!$T$37</definedName>
    <definedName name="FanSpeed">'Main Sheet'!$T$26</definedName>
    <definedName name="FW">'Main Sheet'!$T$39</definedName>
    <definedName name="Height">'Main Sheet'!$T$40</definedName>
    <definedName name="IndentDepth">'Main Sheet'!$T$44</definedName>
    <definedName name="LH">'Main Sheet'!$T$38</definedName>
    <definedName name="LT">'Main Sheet'!#REF!</definedName>
    <definedName name="NozzleFeedratePrinting">'Main Sheet'!$T$16</definedName>
    <definedName name="NozzleFeedrateTravelling">'Main Sheet'!$T$17</definedName>
    <definedName name="NozzleTemp">'Main Sheet'!$T$18</definedName>
    <definedName name="Nxy">'Main Sheet'!$T$42</definedName>
    <definedName name="Nz">'Main Sheet'!$T$43</definedName>
    <definedName name="pi_2">'Main Sheet'!$T$48</definedName>
    <definedName name="PreviewFactor">'Main Sheet'!$T$50</definedName>
    <definedName name="Radius">'Main Sheet'!$T$41</definedName>
    <definedName name="Segments">'Main Sheet'!$T$47</definedName>
    <definedName name="Skew">'Main Sheet'!$T$45</definedName>
    <definedName name="TotalSegs">'Main Sheet'!$T$49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6" i="71" l="1"/>
  <c r="T47" i="72"/>
  <c r="T46" i="72"/>
  <c r="T45" i="72"/>
  <c r="T44" i="72"/>
  <c r="T43" i="72"/>
  <c r="T42" i="72"/>
  <c r="T41" i="72"/>
  <c r="T40" i="72"/>
  <c r="T39" i="72"/>
  <c r="T38" i="72"/>
  <c r="T37" i="72"/>
  <c r="T36" i="72"/>
  <c r="T35" i="72"/>
  <c r="T34" i="72"/>
  <c r="L9" i="72"/>
  <c r="K9" i="72"/>
  <c r="K9" i="72" a="1"/>
  <c r="J9" i="72"/>
  <c r="I9" i="72"/>
  <c r="G8" i="72"/>
  <c r="T6" i="72"/>
  <c r="I9" i="71" l="1" a="1"/>
  <c r="I9" i="71" s="1"/>
  <c r="G8" i="71"/>
  <c r="T50" i="1"/>
  <c r="T47" i="1"/>
  <c r="T42" i="71" s="1"/>
  <c r="T46" i="1"/>
  <c r="T45" i="1"/>
  <c r="T44" i="1"/>
  <c r="T43" i="1"/>
  <c r="T42" i="1"/>
  <c r="T41" i="1"/>
  <c r="G11" i="1" s="1"/>
  <c r="T40" i="1"/>
  <c r="T39" i="1"/>
  <c r="K6" i="71" s="1"/>
  <c r="T38" i="1"/>
  <c r="T49" i="1" s="1"/>
  <c r="T37" i="1"/>
  <c r="T48" i="1"/>
  <c r="K12" i="1" a="1"/>
  <c r="K12" i="1" s="1"/>
  <c r="T48" i="71"/>
  <c r="T47" i="71"/>
  <c r="T45" i="71"/>
  <c r="T44" i="71"/>
  <c r="T41" i="71"/>
  <c r="T40" i="71"/>
  <c r="T39" i="71"/>
  <c r="T38" i="71"/>
  <c r="T37" i="71"/>
  <c r="T36" i="71"/>
  <c r="T35" i="71"/>
  <c r="T34" i="71"/>
  <c r="T13" i="71"/>
  <c r="T9" i="1" l="1"/>
  <c r="K7" i="71"/>
  <c r="K5" i="71"/>
  <c r="K8" i="71"/>
  <c r="L5" i="71"/>
  <c r="L7" i="71"/>
  <c r="L8" i="71"/>
  <c r="L12" i="1"/>
  <c r="T46" i="71"/>
  <c r="J12" i="1"/>
  <c r="J9" i="71"/>
  <c r="L6" i="71"/>
  <c r="L9" i="71"/>
  <c r="I12" i="1"/>
  <c r="N35" i="4"/>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0ACBE779-5463-4184-86C4-B7D0114DFF3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2B2413A0-278C-4AF9-9A02-62B44A3D2D4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E0866F9A-11FF-4482-BA68-FC7E8B0C165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57C6599B-77F6-40A9-B4C8-EBC0D95CEAAC}">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F660590B-76A7-4298-99D2-A7F2A1AAD19D}">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43D6C686-1ABB-4C0D-8FBF-6C8AF3CD535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C338196A-9D7D-42BC-9648-B3745383FA36}">
      <text>
        <r>
          <rPr>
            <b/>
            <sz val="9"/>
            <color indexed="81"/>
            <rFont val="Tahoma"/>
            <family val="2"/>
          </rPr>
          <t>Andy Gleadall:</t>
        </r>
        <r>
          <rPr>
            <sz val="9"/>
            <color indexed="81"/>
            <rFont val="Tahoma"/>
            <family val="2"/>
          </rPr>
          <t xml:space="preserve">
Tool selected at the end of the startGCODE</t>
        </r>
      </text>
    </comment>
    <comment ref="S15" authorId="0" shapeId="0" xr:uid="{04AF8D81-15F6-4914-B49F-4D41B8518EF0}">
      <text>
        <r>
          <rPr>
            <b/>
            <sz val="9"/>
            <color indexed="81"/>
            <rFont val="Tahoma"/>
            <family val="2"/>
          </rPr>
          <t>Andy Gleadall:</t>
        </r>
        <r>
          <rPr>
            <sz val="9"/>
            <color indexed="81"/>
            <rFont val="Tahoma"/>
            <family val="2"/>
          </rPr>
          <t xml:space="preserve">
ONLY USED IF MANUALLY LINKED TO START GCODE</t>
        </r>
      </text>
    </comment>
    <comment ref="S16" authorId="0" shapeId="0" xr:uid="{AD280F3B-EB3D-49EF-8630-D706C01BA2F8}">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4750AA41-26F1-43B9-A18E-148B36A12A56}">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AE9C7826-9119-48BC-B3B1-78E6EC6CDFA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48604C1E-2F14-4CEB-9E53-6534FD36E2C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D5FF9045-4320-44F3-87D9-C17276943DB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D5C7DD3-176F-4B75-9400-5E746FA9E56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D9C0B93E-DE40-49F3-A8C3-20DF91CE66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E59091B6-F7FB-48E3-878C-28809E8C51A6}">
      <text>
        <r>
          <rPr>
            <b/>
            <sz val="9"/>
            <color indexed="81"/>
            <rFont val="Tahoma"/>
            <family val="2"/>
          </rPr>
          <t>Andy Gleadall:</t>
        </r>
        <r>
          <rPr>
            <sz val="9"/>
            <color indexed="81"/>
            <rFont val="Tahoma"/>
            <family val="2"/>
          </rPr>
          <t xml:space="preserve">
Position af the nozzle at the end of the StartGCODE</t>
        </r>
      </text>
    </comment>
    <comment ref="S24" authorId="0" shapeId="0" xr:uid="{4DD65015-D2BE-462B-8901-907BB9C6796A}">
      <text>
        <r>
          <rPr>
            <b/>
            <sz val="9"/>
            <color indexed="81"/>
            <rFont val="Tahoma"/>
            <family val="2"/>
          </rPr>
          <t>Andy Gleadall:</t>
        </r>
        <r>
          <rPr>
            <sz val="9"/>
            <color indexed="81"/>
            <rFont val="Tahoma"/>
            <family val="2"/>
          </rPr>
          <t xml:space="preserve">
Position af the nozzle at the end of the StartGCODE</t>
        </r>
      </text>
    </comment>
    <comment ref="S25" authorId="0" shapeId="0" xr:uid="{57637A86-7C8D-41D7-BCE5-5956DFAAC517}">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FA53FE6D-31BD-460F-8642-5CF67E7D2527}">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E331AF64-FA0A-4079-9924-CFAD2C57BC82}">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C79E3D69-4EB8-4964-B003-538F5BD87AB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B3A543E6-CFC3-4EBD-B116-6791DFAFC0E8}">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A17BFF84-2CBE-47D7-BEF5-7BE98B7D0C20}">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27EBBFC3-BBF6-4C41-BD35-FEBDE3FBDA1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75236FC9-E452-4C67-ACFD-4781D7186EF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6E504791-6133-4D7C-BD87-2862B45AA1C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9921892C-A593-4F25-B045-AAE5334B5639}">
      <text>
        <r>
          <rPr>
            <b/>
            <sz val="9"/>
            <color indexed="81"/>
            <rFont val="Tahoma"/>
            <family val="2"/>
          </rPr>
          <t>Andy Gleadall:</t>
        </r>
        <r>
          <rPr>
            <sz val="9"/>
            <color indexed="81"/>
            <rFont val="Tahoma"/>
            <family val="2"/>
          </rPr>
          <t xml:space="preserve">
Not used, but good practice!</t>
        </r>
      </text>
    </comment>
    <comment ref="B51" authorId="0" shapeId="0" xr:uid="{B1BED978-63CE-4B86-B9B2-BD4FE358DA5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51" authorId="0" shapeId="0" xr:uid="{D210FC14-9591-473E-9060-C14B6664EF0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51" authorId="0" shapeId="0" xr:uid="{E59BF01D-ABA0-4426-BD64-765F2922B11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51" authorId="0" shapeId="0" xr:uid="{622B5942-F654-427B-8E54-DE595B7CDC0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51" authorId="0" shapeId="0" xr:uid="{3C57557A-46D3-431B-9136-62B088391AA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51" authorId="0" shapeId="0" xr:uid="{A24809C4-392F-4A04-8447-6F7507111D0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51" authorId="0" shapeId="0" xr:uid="{129A70FF-0045-475A-A88B-7121B9C210A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51" authorId="0" shapeId="0" xr:uid="{BA45D886-60AB-443C-BCD0-FC094B4192A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51" authorId="0" shapeId="0" xr:uid="{374A7942-955F-474F-B642-E7EA03B0C35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B65" authorId="0" shapeId="0" xr:uid="{E9F05B91-7A08-42CC-B5E5-4D4838A6DC5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65" authorId="0" shapeId="0" xr:uid="{CE33FF95-956E-41FA-BDA2-09E1A336F345}">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65" authorId="0" shapeId="0" xr:uid="{81BACDD2-396C-43B7-89C2-1BFC8154446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65" authorId="0" shapeId="0" xr:uid="{4544F582-E6C6-440E-9E6D-DA90F2A2F3A2}">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65" authorId="0" shapeId="0" xr:uid="{A1D5CE0F-06DA-4DE4-857C-0E28E4109C7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65" authorId="0" shapeId="0" xr:uid="{BB3A077B-FA77-4C87-AFFF-7B3A00EE5FC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65" authorId="0" shapeId="0" xr:uid="{B51B2912-5167-4869-BA60-A23EDCFAD2E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65" authorId="0" shapeId="0" xr:uid="{092284C5-CF6A-46AC-A08C-0962FE035622}">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65" authorId="0" shapeId="0" xr:uid="{425744B8-89E7-4A89-A6CD-C54AFAE62C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397A6C6-7934-4AC3-9625-5E374C894BC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DF01D570-129C-415D-BBC7-244F2D81817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3C7E115B-0F00-4A63-B7D3-DDC3B2FAA3B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5F7C067-6E9E-4AA2-9E24-5EE5449F444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ECEFD340-70CD-44CF-B88D-13D6C117131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DF5E504C-EA86-45B9-ACB9-338EFB71AF8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5611A5C-6FA5-45C7-9A93-EA50EB0FCBEE}">
      <text>
        <r>
          <rPr>
            <b/>
            <sz val="9"/>
            <color indexed="81"/>
            <rFont val="Tahoma"/>
            <family val="2"/>
          </rPr>
          <t>Andy Gleadall:</t>
        </r>
        <r>
          <rPr>
            <sz val="9"/>
            <color indexed="81"/>
            <rFont val="Tahoma"/>
            <family val="2"/>
          </rPr>
          <t xml:space="preserve">
Tool selected at the end of the startGCODE</t>
        </r>
      </text>
    </comment>
    <comment ref="S12" authorId="0" shapeId="0" xr:uid="{F73E4750-E17F-443E-AC34-328E0BACE040}">
      <text>
        <r>
          <rPr>
            <b/>
            <sz val="9"/>
            <color indexed="81"/>
            <rFont val="Tahoma"/>
            <family val="2"/>
          </rPr>
          <t>Andy Gleadall:</t>
        </r>
        <r>
          <rPr>
            <sz val="9"/>
            <color indexed="81"/>
            <rFont val="Tahoma"/>
            <family val="2"/>
          </rPr>
          <t xml:space="preserve">
ONLY USED IF MANUALLY LINKED TO START GCODE</t>
        </r>
      </text>
    </comment>
    <comment ref="S13" authorId="0" shapeId="0" xr:uid="{C899F9BD-3BD7-49D6-9886-4EADACC6D9FF}">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7BEAA0C-4E27-4ECE-83CB-52E3F43CD892}">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EED48FBF-2A14-4997-8FF7-52BE45909BF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5FBA1615-8950-453C-93F6-A3D3DAA22E2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8FFEF207-0A6C-4697-9416-BF3F16E0014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63898B2B-6D52-456C-B0E5-DD00BA3FCD9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0F93A865-B7F4-4308-91DA-74607E8A9F8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59BB2C7F-23C9-409E-AA49-FE4D407757F5}">
      <text>
        <r>
          <rPr>
            <b/>
            <sz val="9"/>
            <color indexed="81"/>
            <rFont val="Tahoma"/>
            <family val="2"/>
          </rPr>
          <t>Andy Gleadall:</t>
        </r>
        <r>
          <rPr>
            <sz val="9"/>
            <color indexed="81"/>
            <rFont val="Tahoma"/>
            <family val="2"/>
          </rPr>
          <t xml:space="preserve">
Position af the nozzle at the end of the StartGCODE</t>
        </r>
      </text>
    </comment>
    <comment ref="S21" authorId="0" shapeId="0" xr:uid="{8363B22E-0028-46FD-97D1-0E7AEBA58F31}">
      <text>
        <r>
          <rPr>
            <b/>
            <sz val="9"/>
            <color indexed="81"/>
            <rFont val="Tahoma"/>
            <family val="2"/>
          </rPr>
          <t>Andy Gleadall:</t>
        </r>
        <r>
          <rPr>
            <sz val="9"/>
            <color indexed="81"/>
            <rFont val="Tahoma"/>
            <family val="2"/>
          </rPr>
          <t xml:space="preserve">
Position af the nozzle at the end of the StartGCODE</t>
        </r>
      </text>
    </comment>
    <comment ref="S22" authorId="0" shapeId="0" xr:uid="{C5AAE15E-B558-4FA2-B507-6A2D7A38EA46}">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72B68EEC-ECCC-4532-BBE1-C18AEA165918}">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BF97D898-4662-4654-BB77-41B53AF8734F}">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2732BB6A-A5CF-4667-90CD-C0834D7FF93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40253EC-74A2-4F54-B86D-228EC9B38B8E}">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ADBECCFD-67BF-481A-A5FB-CEF8B80F9947}">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594AF21C-458A-4645-91AA-38381C54AA2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F61D4A65-70DC-4177-9563-0121183CFB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8243731-542C-453C-8619-5ADBC7399B4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AD29D70D-9CA0-4FFD-9DC9-21A9DBD9B4DF}">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FF054157-8E59-4481-BC84-AC46520A67D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CCB91F27-9998-4192-9D2D-10EF27F92E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10E3804-10E3-4DEA-BDA5-B0BFB1CE432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9A9B59E1-4D95-4465-99AA-CE7F074FEC2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1736ECCF-05FF-4ED2-9B21-20EFF8849D1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74083544-CBE6-4FC5-81EC-78DF92092A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B1018240-9CCF-4850-B1F8-2E0BEFC42B1B}">
      <text>
        <r>
          <rPr>
            <b/>
            <sz val="9"/>
            <color indexed="81"/>
            <rFont val="Tahoma"/>
            <family val="2"/>
          </rPr>
          <t>Andy Gleadall:</t>
        </r>
        <r>
          <rPr>
            <sz val="9"/>
            <color indexed="81"/>
            <rFont val="Tahoma"/>
            <family val="2"/>
          </rPr>
          <t xml:space="preserve">
Tool selected at the end of the startGCODE</t>
        </r>
      </text>
    </comment>
    <comment ref="S12" authorId="0" shapeId="0" xr:uid="{8D424D44-8236-457E-B083-A67DE4C7415F}">
      <text>
        <r>
          <rPr>
            <b/>
            <sz val="9"/>
            <color indexed="81"/>
            <rFont val="Tahoma"/>
            <family val="2"/>
          </rPr>
          <t>Andy Gleadall:</t>
        </r>
        <r>
          <rPr>
            <sz val="9"/>
            <color indexed="81"/>
            <rFont val="Tahoma"/>
            <family val="2"/>
          </rPr>
          <t xml:space="preserve">
ONLY USED IF MANUALLY LINKED TO START GCODE</t>
        </r>
      </text>
    </comment>
    <comment ref="S13" authorId="0" shapeId="0" xr:uid="{9DCB4103-150E-4B66-AE02-D89FD013580A}">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87EA2C6A-9CBD-4E46-A67E-4DAD34C2383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FBD147A1-F95B-4E03-8B19-5168269BEB98}">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89C46A-DC82-4779-9EE4-42E367861F0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CB9938C3-93AC-463F-BD1D-BFBDB72616C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FC163A8C-BA8A-4DC6-95E1-426F1606949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A669FE9-AA0D-4F34-81B8-11F502C9794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AE5610B-10F6-4BEC-9EDD-91C045CBD632}">
      <text>
        <r>
          <rPr>
            <b/>
            <sz val="9"/>
            <color indexed="81"/>
            <rFont val="Tahoma"/>
            <family val="2"/>
          </rPr>
          <t>Andy Gleadall:</t>
        </r>
        <r>
          <rPr>
            <sz val="9"/>
            <color indexed="81"/>
            <rFont val="Tahoma"/>
            <family val="2"/>
          </rPr>
          <t xml:space="preserve">
Position af the nozzle at the end of the StartGCODE</t>
        </r>
      </text>
    </comment>
    <comment ref="S21" authorId="0" shapeId="0" xr:uid="{A6E1A111-97F1-40E8-96D0-0263595C9B55}">
      <text>
        <r>
          <rPr>
            <b/>
            <sz val="9"/>
            <color indexed="81"/>
            <rFont val="Tahoma"/>
            <family val="2"/>
          </rPr>
          <t>Andy Gleadall:</t>
        </r>
        <r>
          <rPr>
            <sz val="9"/>
            <color indexed="81"/>
            <rFont val="Tahoma"/>
            <family val="2"/>
          </rPr>
          <t xml:space="preserve">
Position af the nozzle at the end of the StartGCODE</t>
        </r>
      </text>
    </comment>
    <comment ref="S22" authorId="0" shapeId="0" xr:uid="{6A9D254B-3274-4882-B959-DB2EBEF7402F}">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030D217-9F4B-4E6A-BB13-0A6FC6FA8022}">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64E29B8-91CA-4E51-916E-8354A927FF2B}">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6C3C4BCF-0968-4CF2-9B3A-47FEF61F78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FE792955-A627-4100-A1B8-A4DA9017D1CA}">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0C4B2A45-162B-4FE2-8B2D-C5063D2A9E73}">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1BCF1EA0-9CCE-44F5-861D-667F6B625FB5}">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933F3B61-8B72-434E-BDC0-FB5A75D92E7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465EE535-7D2E-41FE-8ADA-593B213B43E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069C8AF-B793-4A9F-BD1B-90164D82998F}">
      <text>
        <r>
          <rPr>
            <b/>
            <sz val="9"/>
            <color indexed="81"/>
            <rFont val="Tahoma"/>
            <family val="2"/>
          </rPr>
          <t>Andy Gleadall:</t>
        </r>
        <r>
          <rPr>
            <sz val="9"/>
            <color indexed="81"/>
            <rFont val="Tahoma"/>
            <family val="2"/>
          </rPr>
          <t xml:space="preserve">
Not used, but good practice!</t>
        </r>
      </text>
    </comment>
    <comment ref="B48" authorId="0" shapeId="0" xr:uid="{4183B907-51FF-479A-AA14-3D9B00FA036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48" authorId="0" shapeId="0" xr:uid="{8551FA80-14B4-462A-A865-BAEF43BE499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48" authorId="0" shapeId="0" xr:uid="{C9C492E8-D482-4C1D-BB98-92FE6906C8F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48" authorId="0" shapeId="0" xr:uid="{28D36DE1-AB37-4A75-972C-EE5D73875214}">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48" authorId="0" shapeId="0" xr:uid="{C0C550B9-A900-472E-877E-93BB357BFC8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48" authorId="0" shapeId="0" xr:uid="{B2213C3B-1993-46C0-B3AD-325B3C7207B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48" authorId="0" shapeId="0" xr:uid="{74395CF5-B839-44EE-A006-DE2D99093144}">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48" authorId="0" shapeId="0" xr:uid="{27181282-DA51-4D7B-95F2-AD148A666A2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48" authorId="0" shapeId="0" xr:uid="{38DDF39E-65EB-4504-8997-1ABDC7AE5AA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B62" authorId="0" shapeId="0" xr:uid="{19321EC2-9C47-4299-BCCC-3453AE36AAE7}">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C62" authorId="0" shapeId="0" xr:uid="{2100626F-5B9E-4A9E-BF7A-29A7AA05563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D62" authorId="0" shapeId="0" xr:uid="{CF0FE21F-140E-44FD-A035-A1571E87D66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E62" authorId="0" shapeId="0" xr:uid="{E6C83D0A-1644-4620-A2D1-E87B1D24D38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F62" authorId="0" shapeId="0" xr:uid="{5A74E881-C57F-47A4-ACFA-227DB9C4E9C5}">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G62" authorId="0" shapeId="0" xr:uid="{FD4E37DE-D26D-43BA-845F-23B95BF0D02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H62" authorId="0" shapeId="0" xr:uid="{1736E3CA-6842-4F5D-A5B3-CFFEBFA0CA0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I62" authorId="0" shapeId="0" xr:uid="{6EE2D1FA-144D-4BE8-B2B4-59B05F3965F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J62" authorId="0" shapeId="0" xr:uid="{CE2625D7-B1C3-423F-8FEC-39B8653C30B7}">
      <text>
        <r>
          <rPr>
            <b/>
            <sz val="9"/>
            <color indexed="81"/>
            <rFont val="Tahoma"/>
            <family val="2"/>
          </rPr>
          <t>Andy Gleadall:</t>
        </r>
        <r>
          <rPr>
            <sz val="9"/>
            <color indexed="81"/>
            <rFont val="Tahoma"/>
            <family val="2"/>
          </rPr>
          <t xml:space="preserve">
The values in this column can be referred to in formulas by typing the parameter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<sst xmlns="http://schemas.openxmlformats.org/spreadsheetml/2006/main" count="3310" uniqueCount="985">
  <si>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</si>
  <si>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</si>
  <si>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</si>
  <si>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</si>
  <si>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</si>
  <si>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</si>
  <si>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</si>
  <si>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</si>
  <si>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</si>
  <si>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</si>
  <si>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</si>
  <si>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</si>
  <si>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</si>
  <si>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</si>
  <si>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</si>
  <si>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</si>
  <si>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</si>
  <si>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</si>
  <si>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</si>
  <si>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</si>
  <si>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</si>
  <si>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</si>
  <si>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</si>
  <si>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</si>
  <si>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</si>
  <si>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</si>
  <si>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</si>
  <si>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</si>
  <si>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</si>
  <si>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</si>
  <si>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</si>
  <si>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</si>
  <si>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</si>
  <si>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</si>
  <si>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</si>
  <si>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</si>
  <si>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</si>
  <si>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</si>
  <si>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</si>
  <si>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</si>
  <si>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</si>
  <si>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</si>
  <si>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</si>
  <si>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</si>
  <si>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</si>
  <si>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</si>
  <si>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</si>
  <si>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</si>
  <si>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</si>
  <si>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</si>
  <si>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</si>
  <si>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</si>
  <si>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</si>
  <si>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</si>
  <si>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</si>
  <si>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</si>
  <si>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</si>
  <si>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</si>
  <si>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</si>
  <si>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</si>
  <si>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</si>
  <si>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</si>
  <si>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</si>
  <si>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</si>
  <si>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</si>
  <si>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</si>
  <si>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</si>
  <si>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</si>
  <si>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</si>
  <si>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</si>
  <si>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</si>
  <si>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</si>
  <si>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</si>
  <si>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</si>
  <si>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</si>
  <si>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</si>
  <si>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</si>
  <si>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</si>
  <si>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</si>
  <si>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</si>
  <si>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</si>
  <si>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</si>
  <si>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</si>
  <si>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</si>
  <si>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</si>
  <si>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</si>
  <si>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</si>
  <si>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</si>
  <si>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</si>
  <si>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</si>
  <si>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</si>
  <si>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</si>
  <si>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</si>
  <si>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</si>
  <si>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</si>
  <si>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</si>
  <si>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</si>
  <si>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</si>
  <si>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</si>
  <si>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</si>
  <si>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</si>
  <si>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</si>
  <si>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</si>
  <si>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</si>
  <si>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</si>
  <si>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</si>
  <si>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</si>
  <si>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</si>
  <si>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</si>
  <si>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</si>
  <si>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</si>
  <si>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</si>
  <si>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</si>
  <si>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</si>
  <si>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</si>
  <si>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</si>
  <si>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</si>
  <si>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</si>
  <si>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</si>
  <si>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</si>
  <si>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</si>
  <si>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</si>
  <si>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</si>
  <si>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</si>
  <si>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</si>
  <si>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</si>
  <si>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</si>
  <si>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</si>
  <si>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</si>
  <si>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</si>
  <si>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</si>
  <si>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</si>
  <si>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</si>
  <si>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</si>
  <si>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</si>
  <si>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</si>
  <si>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</si>
  <si>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</si>
  <si>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</si>
  <si>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</si>
  <si>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</si>
  <si>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</si>
  <si>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</si>
  <si>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</si>
  <si>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</si>
  <si>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</si>
  <si>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</si>
  <si>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</si>
  <si>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</si>
  <si>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</si>
  <si>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</si>
  <si>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</si>
  <si>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</si>
  <si>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</si>
  <si>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</si>
  <si>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</si>
  <si>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</si>
  <si>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</si>
  <si>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</si>
  <si>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</si>
  <si>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</si>
  <si>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</si>
  <si>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</si>
  <si>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</si>
  <si>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</si>
  <si>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</si>
  <si>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</si>
  <si>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</si>
  <si>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</si>
  <si>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</si>
  <si>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</si>
  <si>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</si>
  <si>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</si>
  <si>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</si>
  <si>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</si>
  <si>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</si>
  <si>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</si>
  <si>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</si>
  <si>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</si>
  <si>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</si>
  <si>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</si>
  <si>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</si>
  <si>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</si>
  <si>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</si>
  <si>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</si>
  <si>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</si>
  <si>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</si>
  <si>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</si>
  <si>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</si>
  <si>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</si>
  <si>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</si>
  <si>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</si>
  <si>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</si>
  <si>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</si>
  <si>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</si>
  <si>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</si>
  <si>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</si>
  <si>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</si>
  <si>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</si>
  <si>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</si>
  <si>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</si>
  <si>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</si>
  <si>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</si>
  <si>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</si>
  <si>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</si>
  <si>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</si>
  <si>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</si>
  <si>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</si>
  <si>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</si>
  <si>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</si>
  <si>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</si>
  <si>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</si>
  <si>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</si>
  <si>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</si>
  <si>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</si>
  <si>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</si>
  <si>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</si>
  <si>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</si>
  <si>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</si>
  <si>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</si>
  <si>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</si>
  <si>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</si>
  <si>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</si>
  <si>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</si>
  <si>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</si>
  <si>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</si>
  <si>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</si>
  <si>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</si>
  <si>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</si>
  <si>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</si>
  <si>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</si>
  <si>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</si>
  <si>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</si>
  <si>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</si>
  <si>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</si>
  <si>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</si>
  <si>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</si>
  <si>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</si>
  <si>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</si>
  <si>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</si>
  <si>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</si>
  <si>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</si>
  <si>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</si>
  <si>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</si>
  <si>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</si>
  <si>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</si>
  <si>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</si>
  <si>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</si>
  <si>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</si>
  <si>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</si>
  <si>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</si>
  <si>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</si>
  <si>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</si>
  <si>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</si>
  <si>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</si>
  <si>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</si>
  <si>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</si>
  <si>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</si>
  <si>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</si>
  <si>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</si>
  <si>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</si>
  <si>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</si>
  <si>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</si>
  <si>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</si>
  <si>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</si>
  <si>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</si>
  <si>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</si>
  <si>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</si>
  <si>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</si>
  <si>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</si>
  <si>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</si>
  <si>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</si>
  <si>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</si>
  <si>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</si>
  <si>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</si>
  <si>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</si>
  <si>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</si>
  <si>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</si>
  <si>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</si>
  <si>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</si>
  <si>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</si>
  <si>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</si>
  <si>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</si>
  <si>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</si>
  <si>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</si>
  <si>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</si>
  <si>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</si>
  <si>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</si>
  <si>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</si>
  <si>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</si>
  <si>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</si>
  <si>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</si>
  <si>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</si>
  <si>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</si>
  <si>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</si>
  <si>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</si>
  <si>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</si>
  <si>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</si>
  <si>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</si>
  <si>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</si>
  <si>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</si>
  <si>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</si>
  <si>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</si>
  <si>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</si>
  <si>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</si>
  <si>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</si>
  <si>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</si>
  <si>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</si>
  <si>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</si>
  <si>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</si>
  <si>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</si>
  <si>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</si>
  <si>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</si>
  <si>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</si>
  <si>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</si>
  <si>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</si>
  <si>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</si>
  <si>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</si>
  <si>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</si>
  <si>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</si>
  <si>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</si>
  <si>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</si>
  <si>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</si>
  <si>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</si>
  <si>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</si>
  <si>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</si>
  <si>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</si>
  <si>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</si>
  <si>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</si>
  <si>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</si>
  <si>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</si>
  <si>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</si>
  <si>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</si>
  <si>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</si>
  <si>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</si>
  <si>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</si>
  <si>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</si>
  <si>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</si>
  <si>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</si>
  <si>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</si>
  <si>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</si>
  <si>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</si>
  <si>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</si>
  <si>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</si>
  <si>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</si>
  <si>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</si>
  <si>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</si>
  <si>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</si>
  <si>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</si>
  <si>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</si>
  <si>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</si>
  <si>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</si>
  <si>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</si>
  <si>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</si>
  <si>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</si>
  <si>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</si>
  <si>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</si>
  <si>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</si>
  <si>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</si>
  <si>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</si>
  <si>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</si>
  <si>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</si>
  <si>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</si>
  <si>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</si>
  <si>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</si>
  <si>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</si>
  <si>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</si>
  <si>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</si>
  <si>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</si>
  <si>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</si>
  <si>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</si>
  <si>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</si>
  <si>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</si>
  <si>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</si>
  <si>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</si>
  <si>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</si>
  <si>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</si>
  <si>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</si>
  <si>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</si>
  <si>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</si>
  <si>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</si>
  <si>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</si>
  <si>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</si>
  <si>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</si>
  <si>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</si>
  <si>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</si>
  <si>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</si>
  <si>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</si>
  <si>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</si>
  <si>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</si>
  <si>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</si>
  <si>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</si>
  <si>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</si>
  <si>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</si>
  <si>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</si>
  <si>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</si>
  <si>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</si>
  <si>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</si>
  <si>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</si>
  <si>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</si>
  <si>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</si>
  <si>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</si>
  <si>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</si>
  <si>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</si>
  <si>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</si>
  <si>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</si>
  <si>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</si>
  <si>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</si>
  <si>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</si>
  <si>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</si>
  <si>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</si>
  <si>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</si>
  <si>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</si>
  <si>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</si>
  <si>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</si>
  <si>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</si>
  <si>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</si>
  <si>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</si>
  <si>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</si>
  <si>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</si>
  <si>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</si>
  <si>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</si>
  <si>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</si>
  <si>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</si>
  <si>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</si>
  <si>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</si>
  <si>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</si>
  <si>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</si>
  <si>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</si>
  <si>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</si>
  <si>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Travel automatically added</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</si>
  <si>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</si>
  <si>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</si>
  <si>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</si>
  <si>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</si>
  <si>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</si>
  <si>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</si>
  <si>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</si>
  <si>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</si>
  <si>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</si>
  <si>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</si>
  <si>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</si>
  <si>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</si>
  <si>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</si>
  <si>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</si>
  <si>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</si>
  <si>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</si>
  <si>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</si>
  <si>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</si>
  <si>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</si>
  <si>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</si>
  <si>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</si>
  <si>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</si>
  <si>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</si>
  <si>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</si>
  <si>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</si>
  <si>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</si>
  <si>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</si>
  <si>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</si>
  <si>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</si>
  <si>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</si>
  <si>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</si>
  <si>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</si>
  <si>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</si>
  <si>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</si>
  <si>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</si>
  <si>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</si>
  <si>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</si>
  <si>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</si>
  <si>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</si>
  <si>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</si>
  <si>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</si>
  <si>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</si>
  <si>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</si>
  <si>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</si>
  <si>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</si>
  <si>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</si>
  <si>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</si>
  <si>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</si>
  <si>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</si>
  <si>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</si>
  <si>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</si>
  <si>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</si>
  <si>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</si>
  <si>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</si>
  <si>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</si>
  <si>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</si>
  <si>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</si>
  <si>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</si>
  <si>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</si>
  <si>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</si>
  <si>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</si>
  <si>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</si>
  <si>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</si>
  <si>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</si>
  <si>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</si>
  <si>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</si>
  <si>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</si>
  <si>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</si>
  <si>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</si>
  <si>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</si>
  <si>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2</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</si>
  <si>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</si>
  <si>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</si>
  <si>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</si>
  <si>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</si>
  <si>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</si>
  <si>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</si>
  <si>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</si>
  <si>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</si>
  <si>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</si>
  <si>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</si>
  <si>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</si>
  <si>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</si>
  <si>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</si>
  <si>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</si>
  <si>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</si>
  <si>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</si>
  <si>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</si>
  <si>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</si>
  <si>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</si>
  <si>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</si>
  <si>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</si>
  <si>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</si>
  <si>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</si>
  <si>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</si>
  <si>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</si>
  <si>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</si>
  <si>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</si>
  <si>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</si>
  <si>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</si>
  <si>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</si>
  <si>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</si>
  <si>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</si>
  <si>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</si>
  <si>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</si>
  <si>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</si>
  <si>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</si>
  <si>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</si>
  <si>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</si>
  <si>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</si>
  <si>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</si>
  <si>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</si>
  <si>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</si>
  <si>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</si>
  <si>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</si>
  <si>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</si>
  <si>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</si>
  <si>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</si>
  <si>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</si>
  <si>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</si>
  <si>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</si>
  <si>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</si>
  <si>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</si>
  <si>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</si>
  <si>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</si>
  <si>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</si>
  <si>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</si>
  <si>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</si>
  <si>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</si>
  <si>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</si>
  <si>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</si>
  <si>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</si>
  <si>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</si>
  <si>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</si>
  <si>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</si>
  <si>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</si>
  <si>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</si>
  <si>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</si>
  <si>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</si>
  <si>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</si>
  <si>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</si>
  <si>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</si>
  <si>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</si>
  <si>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</si>
  <si>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</si>
  <si>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</si>
  <si>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</si>
  <si>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</si>
  <si>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</si>
  <si>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</si>
  <si>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</si>
  <si>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</si>
  <si>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</si>
  <si>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</si>
  <si>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</si>
  <si>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</si>
  <si>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</si>
  <si>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</si>
  <si>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</si>
  <si>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</si>
  <si>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</si>
  <si>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</si>
  <si>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</si>
  <si>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</si>
  <si>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</si>
  <si>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</si>
  <si>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</si>
  <si>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</si>
  <si>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</si>
  <si>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</si>
  <si>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</si>
  <si>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</si>
  <si>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</si>
  <si>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</si>
  <si>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</si>
  <si>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</si>
  <si>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</si>
  <si>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</si>
  <si>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</si>
  <si>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</si>
  <si>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</si>
  <si>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</si>
  <si>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</si>
  <si>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</si>
  <si>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</si>
  <si>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</si>
  <si>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</si>
  <si>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</si>
  <si>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</si>
  <si>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</si>
  <si>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</si>
  <si>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</si>
  <si>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</si>
  <si>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</si>
  <si>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</si>
  <si>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</si>
  <si>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</si>
  <si>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</si>
  <si>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</si>
  <si>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</si>
  <si>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</si>
  <si>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</si>
  <si>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</si>
  <si>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</si>
  <si>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</si>
  <si>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</si>
  <si>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</si>
  <si>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</si>
  <si>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</si>
  <si>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</si>
  <si>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</si>
  <si>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</si>
  <si>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</si>
  <si>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</si>
  <si>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</si>
  <si>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</si>
  <si>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</si>
  <si>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</si>
  <si>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</si>
  <si>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</si>
  <si>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</si>
  <si>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</si>
  <si>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</si>
  <si>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</si>
  <si>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</si>
  <si>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</si>
  <si>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</si>
  <si>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</si>
  <si>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</si>
  <si>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</si>
  <si>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</si>
  <si>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</si>
  <si>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</si>
  <si>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</si>
  <si>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</si>
  <si>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</si>
  <si>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</si>
  <si>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</si>
  <si>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</si>
  <si>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</si>
  <si>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</si>
  <si>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</si>
  <si>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</si>
  <si>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</si>
  <si>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</si>
  <si>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</si>
  <si>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</si>
  <si>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</si>
  <si>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</si>
  <si>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</si>
  <si>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</si>
  <si>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</si>
  <si>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</si>
  <si>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</si>
  <si>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</si>
  <si>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</si>
  <si>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</si>
  <si>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</si>
  <si>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</si>
  <si>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</si>
  <si>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</si>
  <si>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</si>
  <si>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</si>
  <si>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</si>
  <si>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</si>
  <si>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</si>
  <si>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</si>
  <si>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</si>
  <si>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</si>
  <si>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</si>
  <si>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</si>
  <si>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</si>
  <si>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</si>
  <si>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</si>
  <si>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</si>
  <si>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</si>
  <si>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</si>
  <si>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</si>
  <si>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</si>
  <si>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</si>
  <si>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</si>
  <si>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M140 S60</t>
  </si>
  <si>
    <t>M190 S60</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</si>
  <si>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</si>
  <si>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</si>
  <si>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</si>
  <si>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</si>
  <si>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</si>
  <si>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</si>
  <si>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</si>
  <si>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M104 S210</t>
  </si>
  <si>
    <t>M109 S210</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</si>
  <si>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</si>
  <si>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</si>
  <si>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</si>
  <si>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</si>
  <si>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</si>
  <si>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</si>
  <si>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</si>
  <si>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</si>
  <si>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</si>
  <si>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</si>
  <si>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</si>
  <si>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</si>
  <si>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</si>
  <si>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</si>
  <si>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</si>
  <si>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</si>
  <si>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</si>
  <si>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</si>
  <si>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</si>
  <si>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</si>
  <si>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</si>
  <si>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</si>
  <si>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</si>
  <si>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</si>
  <si>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</si>
  <si>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</si>
  <si>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</si>
  <si>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</si>
  <si>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</si>
  <si>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</si>
  <si>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</si>
  <si>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</si>
  <si>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</si>
  <si>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</si>
  <si>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</si>
  <si>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</si>
  <si>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</si>
  <si>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</si>
  <si>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</si>
  <si>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</si>
  <si>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</si>
  <si>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</si>
  <si>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</si>
  <si>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</si>
  <si>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</si>
  <si>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</si>
  <si>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</si>
  <si>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</si>
  <si>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</si>
  <si>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</si>
  <si>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</si>
  <si>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</si>
  <si>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</si>
  <si>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</si>
  <si>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</si>
  <si>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</si>
  <si>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</si>
  <si>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</si>
  <si>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</si>
  <si>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</si>
  <si>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</si>
  <si>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</si>
  <si>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</si>
  <si>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</si>
  <si>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</si>
  <si>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</si>
  <si>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</si>
  <si>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</si>
  <si>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</si>
  <si>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</si>
  <si>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</si>
  <si>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</si>
  <si>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</si>
  <si>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</si>
  <si>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</si>
  <si>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</si>
  <si>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</si>
  <si>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</si>
  <si>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</si>
  <si>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</si>
  <si>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</si>
  <si>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</si>
  <si>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</si>
  <si>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</si>
  <si>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</si>
  <si>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</si>
  <si>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</si>
  <si>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</si>
  <si>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</si>
  <si>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</si>
  <si>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</si>
  <si>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</si>
  <si>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</si>
  <si>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</si>
  <si>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</si>
  <si>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</si>
  <si>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</si>
  <si>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</si>
  <si>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</si>
  <si>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</si>
  <si>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</si>
  <si>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</si>
  <si>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</si>
  <si>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</si>
  <si>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</si>
  <si>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</si>
  <si>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</si>
  <si>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</si>
  <si>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</si>
  <si>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</si>
  <si>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</si>
  <si>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</si>
  <si>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</si>
  <si>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</si>
  <si>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</si>
  <si>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</si>
  <si>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</si>
  <si>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</si>
  <si>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</si>
  <si>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</si>
  <si>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</si>
  <si>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</si>
  <si>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</si>
  <si>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</si>
  <si>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</si>
  <si>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</si>
  <si>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</si>
  <si>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</si>
  <si>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</si>
  <si>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</si>
  <si>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</si>
  <si>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</si>
  <si>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</si>
  <si>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</si>
  <si>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</si>
  <si>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</si>
  <si>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</si>
  <si>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</si>
  <si>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</si>
  <si>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</si>
  <si>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Heron02a - 02/04/2020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</si>
  <si>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</si>
  <si>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</si>
  <si>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</si>
  <si>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</si>
  <si>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</si>
  <si>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</si>
  <si>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</si>
  <si>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</si>
  <si>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</si>
  <si>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ParametricRipple01</t>
  </si>
  <si>
    <t>ParametricRipples</t>
  </si>
  <si>
    <t>FLOW STABILISER - AKA PRIMER</t>
  </si>
  <si>
    <t>R10</t>
  </si>
  <si>
    <t>Layer height</t>
  </si>
  <si>
    <t>Extrusion width</t>
  </si>
  <si>
    <t>This is approximately the wall thickness. Increase if you increase layer height</t>
  </si>
  <si>
    <t>Overall height</t>
  </si>
  <si>
    <t>LH</t>
  </si>
  <si>
    <t>Initial radius</t>
  </si>
  <si>
    <t>Radius of the bottom layer</t>
  </si>
  <si>
    <t>FW</t>
  </si>
  <si>
    <t>Ripples per layer</t>
  </si>
  <si>
    <t>Try to keep this to be a neat number</t>
  </si>
  <si>
    <t>Segments</t>
  </si>
  <si>
    <t>Ripples' depth</t>
  </si>
  <si>
    <t>The amplitude of the ripple</t>
  </si>
  <si>
    <t>Twist</t>
  </si>
  <si>
    <t>0=no twist; 0.25 = quarter-circle twist from bottom to top; 1 = full rotation from bottom to top.</t>
  </si>
  <si>
    <t>RipDep</t>
  </si>
  <si>
    <t>Number of star tips</t>
  </si>
  <si>
    <t>Set at 0 to be a circle and set as other numbers to be stars. E.g. 6 will create a 6-pointed-star</t>
  </si>
  <si>
    <t>Rad</t>
  </si>
  <si>
    <t>Length of star tips</t>
  </si>
  <si>
    <t>Length of star tip (how much longer than the inner circle diameter?)</t>
  </si>
  <si>
    <t>Skew</t>
  </si>
  <si>
    <t>Shape factor</t>
  </si>
  <si>
    <t>Increase this number to make the star tips more pointy (e.g. try 2); decrease to make more smooth (try 0.5)</t>
  </si>
  <si>
    <t>pi_2</t>
  </si>
  <si>
    <t>Radius bulge</t>
  </si>
  <si>
    <t>The whole object will bulge out by this much by mid-height (or inwards if negative)</t>
  </si>
  <si>
    <t>TotalSegs</t>
  </si>
  <si>
    <t>Speed</t>
  </si>
  <si>
    <t>Nozzle movement speed</t>
  </si>
  <si>
    <t>FirstLayerEFactor</t>
  </si>
  <si>
    <t>StarTipNumber</t>
  </si>
  <si>
    <t>StarTipLength</t>
  </si>
  <si>
    <t>Initial settings (worked for 0.6 mm nozzle on an Ultimaker 2+):</t>
  </si>
  <si>
    <t>Try these settings (0.6 nozzle):</t>
  </si>
  <si>
    <t>A</t>
  </si>
  <si>
    <t>B</t>
  </si>
  <si>
    <t>D</t>
  </si>
  <si>
    <t>Shape</t>
  </si>
  <si>
    <t>For a 0.4 mm nozzle, use a layer height of 0.3 and extrusion width of 0.8</t>
  </si>
  <si>
    <t>Bulge</t>
  </si>
  <si>
    <t>RippleSegs</t>
  </si>
  <si>
    <t>Initial settings (worked for 0.4 mm nozzle):</t>
  </si>
  <si>
    <t>Initial settings (worked for 0.8 mm nozzle):</t>
  </si>
  <si>
    <t>LineFeat1</t>
  </si>
  <si>
    <t>LineFeat2</t>
  </si>
  <si>
    <t>3</t>
  </si>
  <si>
    <t>LineFeat3</t>
  </si>
  <si>
    <t>4</t>
  </si>
  <si>
    <t>LineFeat4</t>
  </si>
  <si>
    <t>M106 S255 ; set fan speed</t>
  </si>
  <si>
    <t>Save time: 06/04/2021 12:09:29</t>
  </si>
  <si>
    <t>FullControlParametricVase#1</t>
  </si>
  <si>
    <t>ParametricVases</t>
  </si>
  <si>
    <t>3D spiral equation to print the entire part</t>
  </si>
  <si>
    <t>DesignID</t>
  </si>
  <si>
    <t>G</t>
  </si>
  <si>
    <t>H</t>
  </si>
  <si>
    <t>I</t>
  </si>
  <si>
    <t>J</t>
  </si>
  <si>
    <t>K</t>
  </si>
  <si>
    <t>L</t>
  </si>
  <si>
    <t>M</t>
  </si>
  <si>
    <t>N</t>
  </si>
  <si>
    <t>O</t>
  </si>
  <si>
    <t>P</t>
  </si>
  <si>
    <t>(Try 0.25 to rotate by a quarter-circle from bottom to top)</t>
  </si>
  <si>
    <t>PreviewFactor</t>
  </si>
  <si>
    <t>0.05 = coarse preview; 0.2 = good preview; 1  = full print path</t>
  </si>
  <si>
    <t>Nxy</t>
  </si>
  <si>
    <t>Nz</t>
  </si>
  <si>
    <t>IndentDepth</t>
  </si>
  <si>
    <t>Design ID</t>
  </si>
  <si>
    <t>Preview factor:</t>
  </si>
  <si>
    <t>Indents XY</t>
  </si>
  <si>
    <t>Indents Z</t>
  </si>
  <si>
    <t>Radius of the bottom and top layers</t>
  </si>
  <si>
    <t>How many periodic indentations are there from the bottom to the top of the vase?</t>
  </si>
  <si>
    <t>How many periodic indentations are there around the circumference?</t>
  </si>
  <si>
    <t>Indentation Depth</t>
  </si>
  <si>
    <t>+ive = indentation; -ive = protrusion</t>
  </si>
  <si>
    <t>G0 F2000 Z0.15</t>
  </si>
  <si>
    <t>G1 X30.0 E0.415752</t>
  </si>
  <si>
    <t>G1 X190.0 E6.652027</t>
  </si>
  <si>
    <t>G1 Y100.0 E3.741765</t>
  </si>
  <si>
    <t>G1 X150.0 E1.663007</t>
  </si>
  <si>
    <t>Example parameter sets</t>
  </si>
  <si>
    <t>(pi_2*Tval)+(Skew*(Zval/Height)*pi_2)+((Bulge*pi_2*SIN(Tval*Nxy*pi_2)))</t>
  </si>
  <si>
    <t>Radius-((IndentDepth*(0.5-0.5*(COS(Tval*Nxy*pi_2)))*(0.5-0.5*(COS((Zval/Height)*Nz*pi_2))))*SIN((Zval/Height)*0.5*pi_2)^0.5)</t>
  </si>
  <si>
    <t>(LH*Tval)/PreviewFactor</t>
  </si>
  <si>
    <t>This is the number of segments for each layer. Reduce to 128 for quicker previews. Increase to 512 or more to print.</t>
  </si>
  <si>
    <t>This parameter changes the shape of the indentations to make them more curvy or more pointy.</t>
  </si>
  <si>
    <t>Indent shape factor</t>
  </si>
  <si>
    <t>(pi_2*Tval)+(Tval*pi_2*Skew/Layers)</t>
  </si>
  <si>
    <t>Rad+(RipDep*(0.5+(0.5*COS((Tval*(1+(1/(Segments/(RippleSegs/2)))))*(Segments/RippleSegs)*pi_2)))^1)+(StarTipLength*(0.5-0.5*COS((Tval*pi_2)*StarTipNumber))^Shape)+(Bulge*(SIN((Zval/Height)*0.5*pi_2)))</t>
  </si>
  <si>
    <t>Tval*LH</t>
  </si>
  <si>
    <t>IF(Tmid&gt;1,FW,FW+FW*Tmid*FirstLayerEFactor)</t>
  </si>
  <si>
    <t>IF(Tmid&gt;1,NozzleFeedratePrinting,NozzleFeedratePrinting/2)</t>
  </si>
  <si>
    <t>Save time: 07/04/2021 10:07:36</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</si>
  <si>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</si>
  <si>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</si>
  <si>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Terms for X/Y/Z equations: 
"Xval" "Yval" "Zval"
The X/Y/Z values are taken from the start and end node as appropriate.</t>
  </si>
  <si>
    <t>Terms for A/R/Z equations: 
"Xval" "Yval" "Zval" "Aval" "Rval"
The X/Y/Z values are taken from the start and end node as appropriate.</t>
  </si>
  <si>
    <t>Heron02b - 09/04/2020</t>
  </si>
  <si>
    <t>Minor change to the FeatParams sheet since one of the repeat rule features had the term "X-centre" accidentally replaced by incorrect text</t>
  </si>
  <si>
    <t>Minor change to the FeatParams sheet (added Note B to the Reproduce and recalculate feature)</t>
  </si>
  <si>
    <t>Edited two lines of VBA code "VBA_edit_003" to make sure the GCode respected the initial position of the nozzle after start GCode</t>
  </si>
  <si>
    <t>How to transfer data from previous versions: Copy across your designs woksheets and the following worksheets if you edited them: StartGCODE, EndGCODE, ToolGCODE (choose 'Yes' if prompted by Excel about names already existing)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</si>
</sst>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10">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style="thin">
        <color theme="7" tint="0.39997558519241921"/>
      </right>
      <top style="thin">
        <color theme="7" tint="0.39997558519241921"/>
      </top>
      <bottom style="thin">
        <color theme="7" tint="0.39997558519241921"/>
      </bottom>
      <diagonal/>
    </border>
    <border>
      <left style="thin">
        <color theme="7" tint="0.39997558519241921"/>
      </left>
      <right style="thin">
        <color theme="7" tint="0.39997558519241921"/>
      </right>
      <top style="thin">
        <color theme="7" tint="0.39997558519241921"/>
      </top>
      <bottom style="thin">
        <color theme="7" tint="0.39997558519241921"/>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2">
    <xf numFmtId="0" fontId="0" fillId="0" borderId="0"/>
    <xf numFmtId="0" fontId="10" fillId="0" borderId="0" applyNumberFormat="0" applyFill="0" applyBorder="0" applyAlignment="0" applyProtection="0"/>
  </cellStyleXfs>
  <cellXfs count="162">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6" fillId="0" borderId="0" xfId="0" applyFont="1"/>
    <xf numFmtId="0" fontId="19"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23" fillId="12" borderId="1" xfId="0" applyFont="1" applyFill="1" applyBorder="1"/>
    <xf numFmtId="0" fontId="0" fillId="12" borderId="1" xfId="0" applyFill="1" applyBorder="1"/>
    <xf numFmtId="49" fontId="0" fillId="12" borderId="1" xfId="0" applyNumberFormat="1" applyFill="1" applyBorder="1"/>
    <xf numFmtId="0" fontId="23" fillId="2" borderId="1" xfId="0" applyFont="1" applyFill="1" applyBorder="1"/>
    <xf numFmtId="0" fontId="0" fillId="8" borderId="6" xfId="0" applyFill="1" applyBorder="1" applyProtection="1">
      <protection locked="0"/>
    </xf>
    <xf numFmtId="0" fontId="0" fillId="8" borderId="6" xfId="0" applyFill="1" applyBorder="1" applyProtection="1">
      <protection locked="0"/>
    </xf>
    <xf numFmtId="0" fontId="0" fillId="8" borderId="6" xfId="0" applyFill="1" applyBorder="1"/>
    <xf numFmtId="0" fontId="0" fillId="4" borderId="6" xfId="0" applyFill="1" applyBorder="1" applyProtection="1">
      <protection locked="0"/>
    </xf>
    <xf numFmtId="0" fontId="0" fillId="8" borderId="6" xfId="0" applyFill="1" applyBorder="1" applyProtection="1">
      <protection locked="0"/>
    </xf>
    <xf numFmtId="0" fontId="23" fillId="18" borderId="1" xfId="0" applyFont="1" applyFill="1" applyBorder="1"/>
    <xf numFmtId="0" fontId="0" fillId="18" borderId="1" xfId="0" applyFill="1" applyBorder="1"/>
    <xf numFmtId="0" fontId="13" fillId="2" borderId="1" xfId="0" applyFont="1" applyFill="1" applyBorder="1"/>
    <xf numFmtId="0" fontId="0" fillId="4" borderId="1" xfId="0" applyFill="1" applyBorder="1"/>
    <xf numFmtId="0" fontId="5" fillId="8" borderId="6" xfId="0" applyFont="1" applyFill="1" applyBorder="1" applyProtection="1">
      <protection locked="0"/>
    </xf>
    <xf numFmtId="0" fontId="5" fillId="16" borderId="7" xfId="0" applyFont="1" applyFill="1" applyBorder="1" applyAlignment="1">
      <alignment horizontal="center"/>
    </xf>
    <xf numFmtId="0" fontId="5" fillId="16" borderId="8" xfId="0" applyFont="1" applyFill="1" applyBorder="1" applyAlignment="1">
      <alignment horizontal="center"/>
    </xf>
    <xf numFmtId="0" fontId="5" fillId="16" borderId="9" xfId="0" applyFont="1" applyFill="1" applyBorder="1" applyAlignment="1">
      <alignment horizontal="center"/>
    </xf>
    <xf numFmtId="0" fontId="0" fillId="8" borderId="3" xfId="0" applyFill="1" applyBorder="1" applyProtection="1">
      <protection locked="0"/>
    </xf>
    <xf numFmtId="0" fontId="0" fillId="8" borderId="4" xfId="0" applyFill="1" applyBorder="1" applyProtection="1">
      <protection locked="0"/>
    </xf>
    <xf numFmtId="0" fontId="0" fillId="8" borderId="5" xfId="0" applyFill="1" applyBorder="1" applyProtection="1">
      <protection locked="0"/>
    </xf>
    <xf numFmtId="0" fontId="0" fillId="8" borderId="3" xfId="0" quotePrefix="1" applyFill="1" applyBorder="1" applyProtection="1">
      <protection locked="0"/>
    </xf>
    <xf numFmtId="0" fontId="5" fillId="8" borderId="3" xfId="0" applyFont="1" applyFill="1" applyBorder="1" applyAlignment="1" applyProtection="1">
      <alignment horizontal="left"/>
      <protection locked="0"/>
    </xf>
    <xf numFmtId="0" fontId="5" fillId="8" borderId="4" xfId="0" applyFont="1" applyFill="1" applyBorder="1" applyAlignment="1" applyProtection="1">
      <alignment horizontal="left"/>
      <protection locked="0"/>
    </xf>
    <xf numFmtId="0" fontId="5" fillId="8" borderId="5" xfId="0" applyFont="1" applyFill="1" applyBorder="1" applyAlignment="1" applyProtection="1">
      <alignment horizontal="left"/>
      <protection locked="0"/>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8" borderId="6" xfId="0" applyFill="1" applyBorder="1" applyProtection="1">
      <protection locked="0"/>
    </xf>
    <xf numFmtId="0" fontId="3" fillId="0" borderId="0" xfId="0" applyFont="1" applyAlignment="1">
      <alignment horizontal="left" wrapText="1"/>
    </xf>
    <xf numFmtId="0" fontId="0" fillId="2" borderId="0" xfId="0" applyNumberFormat="1" applyFill="1"/>
    <xf numFmtId="0" fontId="0" fillId="2" borderId="0" xfId="0" applyNumberFormat="1" applyFill="1" applyBorder="1"/>
    <xf numFmtId="0" fontId="22" fillId="0" borderId="0" xfId="0" applyFont="1"/>
    <xf numFmtId="0" fontId="2" fillId="0" borderId="0" xfId="0" applyFont="1" applyAlignment="1">
      <alignment vertical="center"/>
    </xf>
    <xf numFmtId="0" fontId="11" fillId="0" borderId="0" xfId="0" applyFont="1" applyAlignment="1">
      <alignment wrapText="1"/>
    </xf>
    <xf numFmtId="0" fontId="15" fillId="0" borderId="0" xfId="0" applyFont="1" applyAlignment="1">
      <alignment wrapText="1"/>
    </xf>
    <xf numFmtId="0" fontId="21" fillId="0" borderId="0" xfId="0" applyFont="1"/>
    <xf numFmtId="0" fontId="20" fillId="0" borderId="0" xfId="0" applyFont="1"/>
    <xf numFmtId="0" fontId="12" fillId="0" borderId="0" xfId="0" applyFont="1" applyAlignment="1">
      <alignment wrapText="1"/>
    </xf>
    <xf numFmtId="0" fontId="13" fillId="0" borderId="0" xfId="0" applyFont="1"/>
    <xf numFmtId="0" fontId="12" fillId="0" borderId="0" xfId="0" applyFont="1" applyAlignment="1">
      <alignment horizontal="left" wrapText="1"/>
    </xf>
    <xf numFmtId="0" fontId="15" fillId="0" borderId="0" xfId="0" applyFont="1"/>
    <xf numFmtId="0" fontId="19" fillId="0" borderId="0" xfId="0" applyFont="1" applyAlignment="1">
      <alignment horizontal="left" wrapText="1"/>
    </xf>
    <xf numFmtId="0" fontId="14" fillId="0" borderId="0" xfId="0" applyFont="1" applyAlignment="1">
      <alignment wrapText="1"/>
    </xf>
  </cellXfs>
  <cellStyles count="2">
    <cellStyle name="Hyperlink" xfId="1" builtinId="8"/>
    <cellStyle name="Normal" xfId="0" builtinId="0"/>
  </cellStyles>
  <dxfs count="10">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FF00"/>
      <color rgb="FFFF00FF"/>
      <color rgb="FF33CCCC"/>
      <color rgb="FF000000"/>
      <color rgb="FF0080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7" Type="http://schemas.openxmlformats.org/officeDocument/2006/relationships/image" Target="../media/image2.jpeg"/><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5.gif"/><Relationship Id="rId2" Type="http://schemas.openxmlformats.org/officeDocument/2006/relationships/image" Target="../media/image4.gif"/><Relationship Id="rId1" Type="http://schemas.openxmlformats.org/officeDocument/2006/relationships/image" Target="../media/image3.gif"/><Relationship Id="rId4"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5007456" cy="2005296"/>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12965" y="163287"/>
            <a:ext cx="4259035" cy="1277241"/>
          </a:xfrm>
          <a:prstGeom prst="rect">
            <a:avLst/>
          </a:prstGeom>
        </xdr:spPr>
      </xdr:pic>
    </xdr:grpSp>
    <xdr:clientData/>
  </xdr:twoCellAnchor>
  <xdr:twoCellAnchor>
    <xdr:from>
      <xdr:col>0</xdr:col>
      <xdr:colOff>298973</xdr:colOff>
      <xdr:row>17</xdr:row>
      <xdr:rowOff>53087</xdr:rowOff>
    </xdr:from>
    <xdr:to>
      <xdr:col>16</xdr:col>
      <xdr:colOff>4422321</xdr:colOff>
      <xdr:row>33</xdr:row>
      <xdr:rowOff>12841</xdr:rowOff>
    </xdr:to>
    <xdr:sp macro="" textlink="">
      <xdr:nvSpPr>
        <xdr:cNvPr id="35" name="Rectangle 34">
          <a:extLst>
            <a:ext uri="{FF2B5EF4-FFF2-40B4-BE49-F238E27FC236}">
              <a16:creationId xmlns:a16="http://schemas.microsoft.com/office/drawing/2014/main" id="{77D8DA8D-F90B-458B-B543-4CC9C41A1F3E}"/>
            </a:ext>
          </a:extLst>
        </xdr:cNvPr>
        <xdr:cNvSpPr/>
      </xdr:nvSpPr>
      <xdr:spPr>
        <a:xfrm>
          <a:off x="298973" y="4652301"/>
          <a:ext cx="18043455" cy="300775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p>
        <a:p>
          <a:pPr algn="l"/>
          <a:r>
            <a:rPr lang="en-GB" sz="1400"/>
            <a:t> 2. You will see a spiral geometry representing the print path. It's not</a:t>
          </a:r>
          <a:r>
            <a:rPr lang="en-GB" sz="1400" baseline="0"/>
            <a:t> the actual print path - see 'Note A' below.</a:t>
          </a:r>
          <a:endParaRPr lang="en-GB" sz="1400"/>
        </a:p>
        <a:p>
          <a:pPr algn="l"/>
          <a:r>
            <a:rPr lang="en-GB" sz="1400"/>
            <a:t> 3. Copy the parameter sets below (for</a:t>
          </a:r>
          <a:r>
            <a:rPr lang="en-GB" sz="1400" baseline="0"/>
            <a:t> DesignIDs 'A' to 'P')</a:t>
          </a:r>
          <a:r>
            <a:rPr lang="en-GB" sz="1400"/>
            <a:t> into the settings box</a:t>
          </a:r>
          <a:r>
            <a:rPr lang="en-GB" sz="1400" baseline="0"/>
            <a:t> </a:t>
          </a:r>
          <a:r>
            <a:rPr lang="en-GB" sz="1400"/>
            <a:t>(e.g. for design 'B', copy and paste cells D52:D62 into cells C37:C47</a:t>
          </a:r>
          <a:r>
            <a:rPr lang="en-GB" sz="1400" baseline="0"/>
            <a:t>)</a:t>
          </a:r>
          <a:r>
            <a:rPr lang="en-GB" sz="1400"/>
            <a:t>.</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parameters! Think about how amazing it is that all these designs are described by a single feature in FullControl (321 bytes of data!).</a:t>
          </a:r>
        </a:p>
        <a:p>
          <a:pPr algn="l"/>
          <a:r>
            <a:rPr lang="en-GB" sz="1400" baseline="0"/>
            <a:t> 4. Play around the with parameters to create your own designs. </a:t>
          </a:r>
        </a:p>
        <a:p>
          <a:pPr algn="l"/>
          <a:r>
            <a:rPr lang="en-GB" sz="1400" baseline="0"/>
            <a:t> 5. To print your design, change the parameters for 'PreviewFactor' (see 'Note A' below) and 'Segments' (see 'Note B' below) then generate the GCode. Paste the GCode into notepad, save as a '.gcode' file and load it on to your printer. </a:t>
          </a:r>
        </a:p>
        <a:p>
          <a:pPr algn="l"/>
          <a:r>
            <a:rPr lang="en-GB" sz="1400" b="1" baseline="0"/>
            <a:t>WARNING: only print the GCode if FullControl has been set up for your printer (e.g. settings in the green cells to the right). </a:t>
          </a:r>
          <a:r>
            <a:rPr lang="en-GB" sz="1400" baseline="0"/>
            <a:t>If in doubt, see the New Printer tutorial on www.fullcontrolgcode.com.</a:t>
          </a:r>
        </a:p>
        <a:p>
          <a:pPr algn="l"/>
          <a:endParaRPr lang="en-GB" sz="1400" baseline="0"/>
        </a:p>
        <a:p>
          <a:pPr algn="l"/>
          <a:r>
            <a:rPr lang="en-GB" sz="1400" baseline="0"/>
            <a:t>Note A: To speed up GCode generation for quickly previewing designs, the parameter 'PreviewFactor' (cell P36) is set to a value of 0.2. This effectively means only 20% of the print path is generated, which is achieved by setting the layer height to be 500% what is should be. </a:t>
          </a:r>
          <a:r>
            <a:rPr lang="en-GB" sz="1400" b="1" baseline="0"/>
            <a:t>When generating GCode for printing (rather than previewing), you must set the parameter 'PreviewFactor' to a value of 1</a:t>
          </a:r>
          <a:r>
            <a:rPr lang="en-GB" sz="1400" baseline="0"/>
            <a:t>.</a:t>
          </a:r>
        </a:p>
        <a:p>
          <a:pPr algn="l"/>
          <a:r>
            <a:rPr lang="en-GB" sz="1400" baseline="0"/>
            <a:t>Note B: The parameter ‘Segments’ tells FullControl how many segments each circumferential layer is split into. I’d recommend at least 250, but maybe &gt;500 to get better quality and avoid seeing any faceting features on your final print. Maybe even &gt;1000 segments for larger radii. But the print path needs to be less than 1,000,000 lines of GCode for this version of FullControl - so make sure the parameter 'TotalSegs' doesn't go beyond 1,000,000. </a:t>
          </a:r>
        </a:p>
        <a:p>
          <a:pPr algn="l"/>
          <a:endParaRPr lang="en-GB" sz="1400" baseline="0"/>
        </a:p>
        <a:p>
          <a:pPr algn="l"/>
          <a:endParaRPr lang="en-GB" sz="1400" baseline="0"/>
        </a:p>
        <a:p>
          <a:pPr algn="l"/>
          <a:endParaRPr lang="en-GB" sz="1400"/>
        </a:p>
      </xdr:txBody>
    </xdr:sp>
    <xdr:clientData/>
  </xdr:twoCellAnchor>
  <xdr:twoCellAnchor>
    <xdr:from>
      <xdr:col>18</xdr:col>
      <xdr:colOff>1741716</xdr:colOff>
      <xdr:row>35</xdr:row>
      <xdr:rowOff>81643</xdr:rowOff>
    </xdr:from>
    <xdr:to>
      <xdr:col>19</xdr:col>
      <xdr:colOff>1102179</xdr:colOff>
      <xdr:row>51</xdr:row>
      <xdr:rowOff>108857</xdr:rowOff>
    </xdr:to>
    <xdr:sp macro="" textlink="">
      <xdr:nvSpPr>
        <xdr:cNvPr id="36" name="Rectangle 35">
          <a:extLst>
            <a:ext uri="{FF2B5EF4-FFF2-40B4-BE49-F238E27FC236}">
              <a16:creationId xmlns:a16="http://schemas.microsoft.com/office/drawing/2014/main" id="{F9D772F8-F02A-4172-BA91-0A541F76ACD7}"/>
            </a:ext>
          </a:extLst>
        </xdr:cNvPr>
        <xdr:cNvSpPr/>
      </xdr:nvSpPr>
      <xdr:spPr>
        <a:xfrm>
          <a:off x="20424323" y="8109857"/>
          <a:ext cx="1510392"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C37:C47)</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1</xdr:col>
      <xdr:colOff>0</xdr:colOff>
      <xdr:row>77</xdr:row>
      <xdr:rowOff>0</xdr:rowOff>
    </xdr:from>
    <xdr:to>
      <xdr:col>18</xdr:col>
      <xdr:colOff>88174</xdr:colOff>
      <xdr:row>117</xdr:row>
      <xdr:rowOff>106680</xdr:rowOff>
    </xdr:to>
    <xdr:pic>
      <xdr:nvPicPr>
        <xdr:cNvPr id="7" name="Picture 6">
          <a:extLst>
            <a:ext uri="{FF2B5EF4-FFF2-40B4-BE49-F238E27FC236}">
              <a16:creationId xmlns:a16="http://schemas.microsoft.com/office/drawing/2014/main" id="{CE61CCCD-CE64-43CE-9981-2F949F531DC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612321" y="16029214"/>
          <a:ext cx="18158460" cy="77266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14</xdr:row>
      <xdr:rowOff>0</xdr:rowOff>
    </xdr:from>
    <xdr:to>
      <xdr:col>17</xdr:col>
      <xdr:colOff>82025</xdr:colOff>
      <xdr:row>27</xdr:row>
      <xdr:rowOff>95250</xdr:rowOff>
    </xdr:to>
    <xdr:sp macro="" textlink="">
      <xdr:nvSpPr>
        <xdr:cNvPr id="2" name="Rectangle 1">
          <a:extLst>
            <a:ext uri="{FF2B5EF4-FFF2-40B4-BE49-F238E27FC236}">
              <a16:creationId xmlns:a16="http://schemas.microsoft.com/office/drawing/2014/main" id="{A21647A2-7D54-40B9-93D3-BF22109ABA6B}"/>
            </a:ext>
          </a:extLst>
        </xdr:cNvPr>
        <xdr:cNvSpPr/>
      </xdr:nvSpPr>
      <xdr:spPr>
        <a:xfrm>
          <a:off x="609600" y="4600575"/>
          <a:ext cx="17817575" cy="2571750"/>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endParaRPr lang="en-GB" sz="1400"/>
        </a:p>
        <a:p>
          <a:pPr algn="l"/>
          <a:r>
            <a:rPr lang="en-GB" sz="1400"/>
            <a:t> 2. Copy the parameter sets below (for</a:t>
          </a:r>
          <a:r>
            <a:rPr lang="en-GB" sz="1400" baseline="0"/>
            <a:t> DesignIDs 'B' to 'F')</a:t>
          </a:r>
          <a:r>
            <a:rPr lang="en-GB" sz="1400"/>
            <a:t> in columns J</a:t>
          </a:r>
          <a:r>
            <a:rPr lang="en-GB" sz="1400" baseline="0"/>
            <a:t> to N into the yellow settings box</a:t>
          </a:r>
          <a:r>
            <a:rPr lang="en-GB" sz="1400"/>
            <a:t> (e.g. for design 'B', copy and paste cells J51:J62 into cells C35:C46).</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the parameters! Think about how amazing it is that all these designs are described by a single feature in FullControl (&lt; 1KB of data!). </a:t>
          </a:r>
        </a:p>
        <a:p>
          <a:pPr algn="l"/>
          <a:r>
            <a:rPr lang="en-GB" sz="1400" baseline="0"/>
            <a:t> 3. Play around the with parameters to create your own designs. </a:t>
          </a:r>
        </a:p>
        <a:p>
          <a:pPr algn="l"/>
          <a:r>
            <a:rPr lang="en-GB" sz="1400" baseline="0"/>
            <a:t> 4. To print your design, you'll need to adjust the settings for your nozzle size. I've given examples below that work for 0.4mm and 0.6mm nozzles. For a ripply surface texture, try using a layer height that is slightly less than the nozzle. For a ramen-noodle-like structure, try using a layer height that is perhaps 150-200% of your nozzle diameter and consider halving speed and doubling extrusion rate (this is just my guess, you'll need to try different settings). </a:t>
          </a:r>
        </a:p>
        <a:p>
          <a:pPr algn="l"/>
          <a:r>
            <a:rPr lang="en-GB" sz="1400" baseline="0"/>
            <a:t> 5. Once you like a design, generate the GCode, paste it into notepad, save as a '.gcode' file and load it on to your printer. </a:t>
          </a:r>
        </a:p>
        <a:p>
          <a:pPr algn="l"/>
          <a:endParaRPr lang="en-GB" sz="1400" baseline="0"/>
        </a:p>
        <a:p>
          <a:pPr algn="l"/>
          <a:r>
            <a:rPr lang="en-GB" sz="1400" b="1" baseline="0"/>
            <a:t>WARNING: only print the GCode if the sheet has been set up for your printer (e.g. settings in the green cells to the right). </a:t>
          </a:r>
          <a:r>
            <a:rPr lang="en-GB" sz="1400" baseline="0"/>
            <a:t>Ask for help if you're not sure (info@fullcontrolgcode.com).</a:t>
          </a:r>
        </a:p>
        <a:p>
          <a:pPr algn="l"/>
          <a:endParaRPr lang="en-GB" sz="1400" baseline="0"/>
        </a:p>
        <a:p>
          <a:pPr algn="l"/>
          <a:endParaRPr lang="en-GB" sz="1400"/>
        </a:p>
      </xdr:txBody>
    </xdr:sp>
    <xdr:clientData/>
  </xdr:twoCellAnchor>
  <xdr:twoCellAnchor>
    <xdr:from>
      <xdr:col>18</xdr:col>
      <xdr:colOff>1333501</xdr:colOff>
      <xdr:row>32</xdr:row>
      <xdr:rowOff>81643</xdr:rowOff>
    </xdr:from>
    <xdr:to>
      <xdr:col>19</xdr:col>
      <xdr:colOff>1020535</xdr:colOff>
      <xdr:row>48</xdr:row>
      <xdr:rowOff>108857</xdr:rowOff>
    </xdr:to>
    <xdr:sp macro="" textlink="">
      <xdr:nvSpPr>
        <xdr:cNvPr id="3" name="Rectangle 2">
          <a:extLst>
            <a:ext uri="{FF2B5EF4-FFF2-40B4-BE49-F238E27FC236}">
              <a16:creationId xmlns:a16="http://schemas.microsoft.com/office/drawing/2014/main" id="{F0D0D714-F8B3-4CAB-8101-A20C89975FF7}"/>
            </a:ext>
          </a:extLst>
        </xdr:cNvPr>
        <xdr:cNvSpPr/>
      </xdr:nvSpPr>
      <xdr:spPr>
        <a:xfrm>
          <a:off x="19907251" y="8111218"/>
          <a:ext cx="1830159"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C35:C46)</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2</xdr:col>
      <xdr:colOff>1</xdr:colOff>
      <xdr:row>61</xdr:row>
      <xdr:rowOff>0</xdr:rowOff>
    </xdr:from>
    <xdr:to>
      <xdr:col>5</xdr:col>
      <xdr:colOff>307522</xdr:colOff>
      <xdr:row>72</xdr:row>
      <xdr:rowOff>171450</xdr:rowOff>
    </xdr:to>
    <xdr:pic>
      <xdr:nvPicPr>
        <xdr:cNvPr id="4" name="Picture 3">
          <a:extLst>
            <a:ext uri="{FF2B5EF4-FFF2-40B4-BE49-F238E27FC236}">
              <a16:creationId xmlns:a16="http://schemas.microsoft.com/office/drawing/2014/main" id="{AC3C1765-EEA6-44B1-8E25-C7A8DA45E89C}"/>
            </a:ext>
          </a:extLst>
        </xdr:cNvPr>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l="3557" r="2787"/>
        <a:stretch/>
      </xdr:blipFill>
      <xdr:spPr>
        <a:xfrm>
          <a:off x="1885951" y="13554075"/>
          <a:ext cx="2136321" cy="2266950"/>
        </a:xfrm>
        <a:prstGeom prst="rect">
          <a:avLst/>
        </a:prstGeom>
      </xdr:spPr>
    </xdr:pic>
    <xdr:clientData/>
  </xdr:twoCellAnchor>
  <xdr:twoCellAnchor editAs="oneCell">
    <xdr:from>
      <xdr:col>2</xdr:col>
      <xdr:colOff>40822</xdr:colOff>
      <xdr:row>47</xdr:row>
      <xdr:rowOff>27215</xdr:rowOff>
    </xdr:from>
    <xdr:to>
      <xdr:col>5</xdr:col>
      <xdr:colOff>266700</xdr:colOff>
      <xdr:row>59</xdr:row>
      <xdr:rowOff>321</xdr:rowOff>
    </xdr:to>
    <xdr:pic>
      <xdr:nvPicPr>
        <xdr:cNvPr id="5" name="Picture 4">
          <a:extLst>
            <a:ext uri="{FF2B5EF4-FFF2-40B4-BE49-F238E27FC236}">
              <a16:creationId xmlns:a16="http://schemas.microsoft.com/office/drawing/2014/main" id="{B44C6CAF-82D5-41A2-9681-014930E62A96}"/>
            </a:ext>
          </a:extLst>
        </xdr:cNvPr>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l="3160" r="760"/>
        <a:stretch/>
      </xdr:blipFill>
      <xdr:spPr>
        <a:xfrm>
          <a:off x="1926772" y="10914290"/>
          <a:ext cx="2054678" cy="2247900"/>
        </a:xfrm>
        <a:prstGeom prst="rect">
          <a:avLst/>
        </a:prstGeom>
      </xdr:spPr>
    </xdr:pic>
    <xdr:clientData/>
  </xdr:twoCellAnchor>
  <xdr:twoCellAnchor editAs="oneCell">
    <xdr:from>
      <xdr:col>2</xdr:col>
      <xdr:colOff>40822</xdr:colOff>
      <xdr:row>75</xdr:row>
      <xdr:rowOff>1</xdr:rowOff>
    </xdr:from>
    <xdr:to>
      <xdr:col>5</xdr:col>
      <xdr:colOff>331800</xdr:colOff>
      <xdr:row>86</xdr:row>
      <xdr:rowOff>149679</xdr:rowOff>
    </xdr:to>
    <xdr:pic>
      <xdr:nvPicPr>
        <xdr:cNvPr id="6" name="Picture 5">
          <a:extLst>
            <a:ext uri="{FF2B5EF4-FFF2-40B4-BE49-F238E27FC236}">
              <a16:creationId xmlns:a16="http://schemas.microsoft.com/office/drawing/2014/main" id="{9838D341-D082-459B-8AC1-99D937170C81}"/>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926772" y="16221076"/>
          <a:ext cx="2119778" cy="2245178"/>
        </a:xfrm>
        <a:prstGeom prst="rect">
          <a:avLst/>
        </a:prstGeom>
      </xdr:spPr>
    </xdr:pic>
    <xdr:clientData/>
  </xdr:twoCellAnchor>
  <xdr:twoCellAnchor editAs="oneCell">
    <xdr:from>
      <xdr:col>8</xdr:col>
      <xdr:colOff>0</xdr:colOff>
      <xdr:row>60</xdr:row>
      <xdr:rowOff>0</xdr:rowOff>
    </xdr:from>
    <xdr:to>
      <xdr:col>25</xdr:col>
      <xdr:colOff>358140</xdr:colOff>
      <xdr:row>70</xdr:row>
      <xdr:rowOff>0</xdr:rowOff>
    </xdr:to>
    <xdr:pic>
      <xdr:nvPicPr>
        <xdr:cNvPr id="14" name="Picture 13">
          <a:extLst>
            <a:ext uri="{FF2B5EF4-FFF2-40B4-BE49-F238E27FC236}">
              <a16:creationId xmlns:a16="http://schemas.microsoft.com/office/drawing/2014/main" id="{B8FA76BD-0B44-4990-A9F5-031574A76274}"/>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4876800" y="11430000"/>
          <a:ext cx="1072134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298973</xdr:colOff>
      <xdr:row>14</xdr:row>
      <xdr:rowOff>53087</xdr:rowOff>
    </xdr:from>
    <xdr:to>
      <xdr:col>16</xdr:col>
      <xdr:colOff>4422321</xdr:colOff>
      <xdr:row>30</xdr:row>
      <xdr:rowOff>12841</xdr:rowOff>
    </xdr:to>
    <xdr:sp macro="" textlink="">
      <xdr:nvSpPr>
        <xdr:cNvPr id="11" name="Rectangle 10">
          <a:extLst>
            <a:ext uri="{FF2B5EF4-FFF2-40B4-BE49-F238E27FC236}">
              <a16:creationId xmlns:a16="http://schemas.microsoft.com/office/drawing/2014/main" id="{0D4384BF-D014-4ECF-A543-11F5790A864A}"/>
            </a:ext>
          </a:extLst>
        </xdr:cNvPr>
        <xdr:cNvSpPr/>
      </xdr:nvSpPr>
      <xdr:spPr>
        <a:xfrm>
          <a:off x="298973" y="4653662"/>
          <a:ext cx="17944123" cy="300775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GB" sz="1400" b="1" u="sng"/>
            <a:t>Instructions:</a:t>
          </a:r>
        </a:p>
        <a:p>
          <a:pPr algn="l"/>
          <a:r>
            <a:rPr lang="en-GB" sz="1400"/>
            <a:t> 1. Click generate GCode and look at the GCode in print</a:t>
          </a:r>
          <a:r>
            <a:rPr lang="en-GB" sz="1400" baseline="0"/>
            <a:t>-path preview software (E.g. a slicer such as Repetier Host)</a:t>
          </a:r>
        </a:p>
        <a:p>
          <a:pPr algn="l"/>
          <a:r>
            <a:rPr lang="en-GB" sz="1400"/>
            <a:t> 2. You will see a spiral geometry representing the print path. It's not</a:t>
          </a:r>
          <a:r>
            <a:rPr lang="en-GB" sz="1400" baseline="0"/>
            <a:t> the actual print path - see 'Note A' below.</a:t>
          </a:r>
          <a:endParaRPr lang="en-GB" sz="1400"/>
        </a:p>
        <a:p>
          <a:pPr algn="l"/>
          <a:r>
            <a:rPr lang="en-GB" sz="1400"/>
            <a:t> 3. Copy the parameter sets below (for</a:t>
          </a:r>
          <a:r>
            <a:rPr lang="en-GB" sz="1400" baseline="0"/>
            <a:t> DesignIDs 'A' to 'P')</a:t>
          </a:r>
          <a:r>
            <a:rPr lang="en-GB" sz="1400"/>
            <a:t> into the settings box</a:t>
          </a:r>
          <a:r>
            <a:rPr lang="en-GB" sz="1400" baseline="0"/>
            <a:t> </a:t>
          </a:r>
          <a:r>
            <a:rPr lang="en-GB" sz="1400"/>
            <a:t>(e.g. for design 'B', copy and paste cells D52:D62 into cells C37:C47</a:t>
          </a:r>
          <a:r>
            <a:rPr lang="en-GB" sz="1400" baseline="0"/>
            <a:t>)</a:t>
          </a:r>
          <a:r>
            <a:rPr lang="en-GB" sz="1400"/>
            <a:t>.</a:t>
          </a:r>
          <a:r>
            <a:rPr lang="en-GB" sz="1400" baseline="0"/>
            <a:t> G</a:t>
          </a:r>
          <a:r>
            <a:rPr lang="en-GB" sz="1400"/>
            <a:t>enerate and preview the GCode for each design.</a:t>
          </a:r>
          <a:r>
            <a:rPr lang="en-GB" sz="1400" baseline="0"/>
            <a:t> </a:t>
          </a:r>
          <a:r>
            <a:rPr lang="en-GB" sz="1400"/>
            <a:t>The </a:t>
          </a:r>
          <a:r>
            <a:rPr lang="en-GB" sz="1400" baseline="0"/>
            <a:t>parameters that changed from the previous design are highlighted yellow. You'll see that lots of different geometries are possible by small tweaks to parameters! Think about how amazing it is that all these designs are described by a single feature in FullControl (321 bytes of data!).</a:t>
          </a:r>
        </a:p>
        <a:p>
          <a:pPr algn="l"/>
          <a:r>
            <a:rPr lang="en-GB" sz="1400" baseline="0"/>
            <a:t> 4. Play around the with parameters to create your own designs. </a:t>
          </a:r>
        </a:p>
        <a:p>
          <a:pPr algn="l"/>
          <a:r>
            <a:rPr lang="en-GB" sz="1400" baseline="0"/>
            <a:t> 5. To print your design, change the parameters for 'PreviewFactor' (see 'Note A' below) and 'Segments' (see 'Note B' below) then generate the GCode. Paste the GCode into notepad, save as a '.gcode' file and load it on to your printer. </a:t>
          </a:r>
        </a:p>
        <a:p>
          <a:pPr algn="l"/>
          <a:r>
            <a:rPr lang="en-GB" sz="1400" b="1" baseline="0"/>
            <a:t>WARNING: only print the GCode if FullControl has been set up for your printer (e.g. settings in the green cells to the right). </a:t>
          </a:r>
          <a:r>
            <a:rPr lang="en-GB" sz="1400" baseline="0"/>
            <a:t>If in doubt, see the New Printer tutorial on www.fullcontrolgcode.com.</a:t>
          </a:r>
        </a:p>
        <a:p>
          <a:pPr algn="l"/>
          <a:endParaRPr lang="en-GB" sz="1400" baseline="0"/>
        </a:p>
        <a:p>
          <a:pPr algn="l"/>
          <a:r>
            <a:rPr lang="en-GB" sz="1400" baseline="0"/>
            <a:t>Note A: To speed up GCode generation for quickly previewing designs, the parameter 'PreviewFactor' (cell P36) is set to a value of 0.2. This effectively means only 20% of the print path is generated, which is achieved by setting the layer height to be 500% what is should be. </a:t>
          </a:r>
          <a:r>
            <a:rPr lang="en-GB" sz="1400" b="1" baseline="0"/>
            <a:t>When generating GCode for printing (rather than previewing), you must set the parameter 'PreviewFactor' to a value of 1</a:t>
          </a:r>
          <a:r>
            <a:rPr lang="en-GB" sz="1400" baseline="0"/>
            <a:t>.</a:t>
          </a:r>
        </a:p>
        <a:p>
          <a:pPr algn="l"/>
          <a:r>
            <a:rPr lang="en-GB" sz="1400" baseline="0"/>
            <a:t>Note B: The parameter ‘Segments’ tells FullControl how many segments each circumferential layer is split into. I’d recommend at least 250, but maybe &gt;500 to get better quality and avoid seeing any faceting features on your final print. Maybe even &gt;1000 segments for larger radii. But the print path needs to be less than 1,000,000 lines of GCode for this version of FullControl - so make sure the parameter 'TotalSegs' doesn't go beyond 1,000,000. </a:t>
          </a:r>
        </a:p>
        <a:p>
          <a:pPr algn="l"/>
          <a:endParaRPr lang="en-GB" sz="1400" baseline="0"/>
        </a:p>
        <a:p>
          <a:pPr algn="l"/>
          <a:endParaRPr lang="en-GB" sz="1400" baseline="0"/>
        </a:p>
        <a:p>
          <a:pPr algn="l"/>
          <a:endParaRPr lang="en-GB" sz="1400"/>
        </a:p>
      </xdr:txBody>
    </xdr:sp>
    <xdr:clientData/>
  </xdr:twoCellAnchor>
  <xdr:twoCellAnchor>
    <xdr:from>
      <xdr:col>18</xdr:col>
      <xdr:colOff>1741716</xdr:colOff>
      <xdr:row>32</xdr:row>
      <xdr:rowOff>81643</xdr:rowOff>
    </xdr:from>
    <xdr:to>
      <xdr:col>19</xdr:col>
      <xdr:colOff>1102179</xdr:colOff>
      <xdr:row>48</xdr:row>
      <xdr:rowOff>108857</xdr:rowOff>
    </xdr:to>
    <xdr:sp macro="" textlink="">
      <xdr:nvSpPr>
        <xdr:cNvPr id="12" name="Rectangle 11">
          <a:extLst>
            <a:ext uri="{FF2B5EF4-FFF2-40B4-BE49-F238E27FC236}">
              <a16:creationId xmlns:a16="http://schemas.microsoft.com/office/drawing/2014/main" id="{37A33A11-013E-4A2D-B865-506D01963CA2}"/>
            </a:ext>
          </a:extLst>
        </xdr:cNvPr>
        <xdr:cNvSpPr/>
      </xdr:nvSpPr>
      <xdr:spPr>
        <a:xfrm>
          <a:off x="20315466" y="8111218"/>
          <a:ext cx="1503588" cy="3075214"/>
        </a:xfrm>
        <a:prstGeom prst="rect">
          <a:avLst/>
        </a:prstGeom>
        <a:effectLst>
          <a:glow rad="139700">
            <a:schemeClr val="accent3">
              <a:satMod val="175000"/>
              <a:alpha val="40000"/>
            </a:schemeClr>
          </a:glow>
        </a:effectLst>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lang="en-GB" sz="1400" b="0" u="none"/>
            <a:t>EDIT THE VALUES IN THE YELLOW BOX (CELLS C37:C47)</a:t>
          </a:r>
          <a:r>
            <a:rPr lang="en-GB" sz="1400" b="0" u="none" baseline="0"/>
            <a:t> INSTEAD OF THESE PARAMETER VALUES UNLESS YOU ARE INTENTIONALLY TRYING TO CHANGE THESE PARAMETERS EXPLICITLY.</a:t>
          </a:r>
          <a:endParaRPr lang="en-GB" sz="1400" b="0" u="none"/>
        </a:p>
      </xdr:txBody>
    </xdr:sp>
    <xdr:clientData/>
  </xdr:twoCellAnchor>
  <xdr:twoCellAnchor editAs="oneCell">
    <xdr:from>
      <xdr:col>1</xdr:col>
      <xdr:colOff>0</xdr:colOff>
      <xdr:row>74</xdr:row>
      <xdr:rowOff>0</xdr:rowOff>
    </xdr:from>
    <xdr:to>
      <xdr:col>30</xdr:col>
      <xdr:colOff>373924</xdr:colOff>
      <xdr:row>114</xdr:row>
      <xdr:rowOff>106680</xdr:rowOff>
    </xdr:to>
    <xdr:pic>
      <xdr:nvPicPr>
        <xdr:cNvPr id="13" name="Picture 12">
          <a:extLst>
            <a:ext uri="{FF2B5EF4-FFF2-40B4-BE49-F238E27FC236}">
              <a16:creationId xmlns:a16="http://schemas.microsoft.com/office/drawing/2014/main" id="{F0C62584-0CE6-4883-90A5-1BD4FCAC3EFB}"/>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9600" y="16030575"/>
          <a:ext cx="18052324" cy="772668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119"/>
  <sheetViews>
    <sheetView showGridLines="0" tabSelected="1" zoomScale="55" zoomScaleNormal="55" workbookViewId="0">
      <pane ySplit="1" topLeftCell="A2" activePane="bottomLeft" state="frozen"/>
      <selection activeCell="G268" sqref="G268"/>
      <selection pane="bottomLeft" activeCell="G12" sqref="G12"/>
    </sheetView>
  </sheetViews>
  <sheetFormatPr defaultColWidth="8.86328125" defaultRowHeight="14.25" x14ac:dyDescent="0.45"/>
  <cols>
    <col min="1" max="1" width="9.1328125" style="61" customWidth="1"/>
    <col min="2" max="2" width="19.1328125" style="61" customWidth="1"/>
    <col min="3" max="6" width="12.1328125" style="61" customWidth="1"/>
    <col min="7" max="7" width="21.1328125" style="61" customWidth="1"/>
    <col min="8" max="16" width="12.1328125" style="61" customWidth="1"/>
    <col min="17" max="17" width="67.86328125" style="61" customWidth="1"/>
    <col min="18" max="18" width="3.3984375" style="61" customWidth="1"/>
    <col min="19" max="19" width="32.1328125" style="61" bestFit="1" customWidth="1"/>
    <col min="20" max="20" width="19.73046875" style="61" customWidth="1"/>
    <col min="21" max="21" width="20" style="61" bestFit="1" customWidth="1"/>
    <col min="22" max="16384" width="8.86328125" style="61"/>
  </cols>
  <sheetData>
    <row r="1" spans="1:40" s="66" customFormat="1" ht="122.25" customHeight="1" x14ac:dyDescent="0.5">
      <c r="B1" s="144"/>
      <c r="C1" s="145"/>
      <c r="D1" s="145"/>
      <c r="E1" s="145"/>
      <c r="F1" s="145"/>
      <c r="G1" s="67"/>
      <c r="L1" s="68"/>
      <c r="S1" s="69"/>
    </row>
    <row r="2" spans="1:40" s="66" customFormat="1" x14ac:dyDescent="0.45">
      <c r="C2" s="68"/>
      <c r="E2" s="68"/>
    </row>
    <row r="3" spans="1:40" x14ac:dyDescent="0.45">
      <c r="F3" s="63"/>
      <c r="H3" s="64"/>
      <c r="I3" s="61" t="s">
        <v>636</v>
      </c>
      <c r="M3" s="64"/>
      <c r="O3" s="64"/>
    </row>
    <row r="4" spans="1:40" x14ac:dyDescent="0.45">
      <c r="M4" s="65"/>
    </row>
    <row r="5" spans="1:40" x14ac:dyDescent="0.45">
      <c r="T5" s="75" t="s">
        <v>171</v>
      </c>
      <c r="U5" s="74">
        <f>COUNTA(RecycleBin!#REF!)</f>
        <v>1</v>
      </c>
      <c r="V5" s="66"/>
    </row>
    <row r="6" spans="1:40" s="62" customFormat="1" x14ac:dyDescent="0.45">
      <c r="A6" s="47" t="s">
        <v>169</v>
      </c>
      <c r="B6" s="2" t="s">
        <v>929</v>
      </c>
      <c r="C6" s="47" t="s">
        <v>168</v>
      </c>
      <c r="D6" s="2" t="s">
        <v>930</v>
      </c>
      <c r="E6"/>
      <c r="F6"/>
      <c r="G6"/>
      <c r="H6"/>
      <c r="I6"/>
      <c r="J6"/>
      <c r="K6"/>
      <c r="L6"/>
      <c r="M6"/>
      <c r="N6"/>
      <c r="O6"/>
      <c r="P6"/>
      <c r="Q6"/>
      <c r="R6"/>
      <c r="S6"/>
      <c r="T6"/>
      <c r="U6" s="70"/>
      <c r="V6"/>
      <c r="W6"/>
      <c r="X6"/>
      <c r="Y6"/>
      <c r="Z6"/>
      <c r="AA6"/>
      <c r="AB6"/>
      <c r="AC6"/>
      <c r="AD6"/>
      <c r="AE6"/>
      <c r="AF6"/>
      <c r="AG6"/>
      <c r="AH6"/>
      <c r="AI6"/>
      <c r="AJ6"/>
      <c r="AK6"/>
      <c r="AL6"/>
      <c r="AM6"/>
      <c r="AN6"/>
    </row>
    <row r="7" spans="1:40" s="62" customFormat="1" x14ac:dyDescent="0.45">
      <c r="A7" s="35" t="s">
        <v>0</v>
      </c>
      <c r="B7" s="47"/>
      <c r="C7" s="18"/>
      <c r="D7" s="18"/>
      <c r="E7" s="18"/>
      <c r="F7" s="18"/>
      <c r="G7" s="18"/>
      <c r="H7" s="18"/>
      <c r="I7" s="18"/>
      <c r="J7" s="18"/>
      <c r="K7" s="18"/>
      <c r="L7" s="18"/>
      <c r="M7" s="18"/>
      <c r="N7" s="18"/>
      <c r="O7" s="18"/>
      <c r="P7" s="18"/>
      <c r="Q7" s="47" t="s">
        <v>329</v>
      </c>
      <c r="R7"/>
      <c r="S7"/>
      <c r="T7"/>
      <c r="U7" s="70"/>
      <c r="V7"/>
      <c r="W7"/>
      <c r="X7"/>
      <c r="Y7"/>
      <c r="Z7"/>
      <c r="AA7"/>
      <c r="AB7"/>
      <c r="AC7"/>
      <c r="AD7"/>
      <c r="AE7"/>
      <c r="AF7"/>
      <c r="AG7"/>
      <c r="AH7"/>
      <c r="AI7"/>
      <c r="AJ7"/>
      <c r="AK7"/>
      <c r="AL7"/>
      <c r="AM7"/>
      <c r="AN7"/>
    </row>
    <row r="8" spans="1:40" s="62" customFormat="1" x14ac:dyDescent="0.45">
      <c r="A8" s="2">
        <v>1</v>
      </c>
      <c r="B8" s="120" t="s">
        <v>1</v>
      </c>
      <c r="C8" s="121" t="s">
        <v>18</v>
      </c>
      <c r="D8" s="121">
        <v>20</v>
      </c>
      <c r="E8" s="121">
        <v>10</v>
      </c>
      <c r="F8" s="121">
        <v>0</v>
      </c>
      <c r="G8" s="121">
        <v>30</v>
      </c>
      <c r="H8" s="121">
        <v>10</v>
      </c>
      <c r="I8" s="121">
        <v>0</v>
      </c>
      <c r="J8" s="121" t="s">
        <v>19</v>
      </c>
      <c r="K8" s="121">
        <v>0.5</v>
      </c>
      <c r="L8" s="121">
        <v>0.2</v>
      </c>
      <c r="M8" s="121"/>
      <c r="N8" s="121"/>
      <c r="O8" s="121"/>
      <c r="P8" s="121"/>
      <c r="Q8" s="121" t="s">
        <v>875</v>
      </c>
      <c r="R8"/>
      <c r="S8" s="76" t="s">
        <v>40</v>
      </c>
      <c r="T8" s="3"/>
      <c r="U8" s="5"/>
      <c r="V8"/>
      <c r="W8"/>
      <c r="X8"/>
      <c r="Y8"/>
      <c r="Z8"/>
      <c r="AA8"/>
      <c r="AB8"/>
      <c r="AC8"/>
      <c r="AD8"/>
      <c r="AE8"/>
      <c r="AF8"/>
      <c r="AG8"/>
      <c r="AH8"/>
      <c r="AI8"/>
      <c r="AJ8"/>
      <c r="AK8"/>
      <c r="AL8"/>
      <c r="AM8"/>
      <c r="AN8"/>
    </row>
    <row r="9" spans="1:40" s="62" customFormat="1" x14ac:dyDescent="0.45">
      <c r="A9" s="2">
        <v>2</v>
      </c>
      <c r="B9" s="120" t="s">
        <v>1</v>
      </c>
      <c r="C9" s="121" t="s">
        <v>18</v>
      </c>
      <c r="D9" s="121" t="s">
        <v>124</v>
      </c>
      <c r="E9" s="121" t="s">
        <v>124</v>
      </c>
      <c r="F9" s="121" t="s">
        <v>124</v>
      </c>
      <c r="G9" s="121">
        <v>190</v>
      </c>
      <c r="H9" s="121" t="s">
        <v>124</v>
      </c>
      <c r="I9" s="122" t="s">
        <v>124</v>
      </c>
      <c r="J9" s="122" t="s">
        <v>19</v>
      </c>
      <c r="K9" s="121">
        <v>0.5</v>
      </c>
      <c r="L9" s="121">
        <v>0.2</v>
      </c>
      <c r="M9" s="121"/>
      <c r="N9" s="121"/>
      <c r="O9" s="121"/>
      <c r="P9" s="121"/>
      <c r="Q9" s="121" t="s">
        <v>875</v>
      </c>
      <c r="R9"/>
      <c r="S9" s="5" t="s">
        <v>122</v>
      </c>
      <c r="T9" s="5">
        <f>LH*0.75</f>
        <v>0.15000000000000002</v>
      </c>
      <c r="U9" s="5" t="s">
        <v>44</v>
      </c>
      <c r="V9"/>
      <c r="W9"/>
      <c r="X9"/>
      <c r="Y9"/>
      <c r="Z9"/>
      <c r="AA9" s="107">
        <v>0.15</v>
      </c>
      <c r="AB9" s="107">
        <v>0.15</v>
      </c>
      <c r="AC9"/>
      <c r="AD9"/>
      <c r="AE9"/>
      <c r="AF9"/>
      <c r="AG9"/>
      <c r="AH9"/>
      <c r="AI9"/>
      <c r="AJ9"/>
      <c r="AK9"/>
      <c r="AL9"/>
      <c r="AM9"/>
      <c r="AN9"/>
    </row>
    <row r="10" spans="1:40" s="62" customFormat="1" x14ac:dyDescent="0.45">
      <c r="A10" s="2">
        <v>3</v>
      </c>
      <c r="B10" s="120" t="s">
        <v>1</v>
      </c>
      <c r="C10" s="121" t="s">
        <v>18</v>
      </c>
      <c r="D10" s="121" t="s">
        <v>124</v>
      </c>
      <c r="E10" s="121" t="s">
        <v>124</v>
      </c>
      <c r="F10" s="121" t="s">
        <v>124</v>
      </c>
      <c r="G10" s="121" t="s">
        <v>124</v>
      </c>
      <c r="H10" s="121">
        <v>100</v>
      </c>
      <c r="I10" s="122" t="s">
        <v>124</v>
      </c>
      <c r="J10" s="122" t="s">
        <v>19</v>
      </c>
      <c r="K10" s="121">
        <v>0.5</v>
      </c>
      <c r="L10" s="121">
        <v>0.2</v>
      </c>
      <c r="M10" s="121"/>
      <c r="N10" s="121"/>
      <c r="O10" s="121"/>
      <c r="P10" s="121"/>
      <c r="Q10" s="17" t="s">
        <v>875</v>
      </c>
      <c r="R10"/>
      <c r="S10" s="5" t="s">
        <v>95</v>
      </c>
      <c r="T10" s="5">
        <v>1</v>
      </c>
      <c r="U10" s="5" t="s">
        <v>97</v>
      </c>
      <c r="V10"/>
      <c r="W10"/>
      <c r="X10"/>
      <c r="Y10"/>
      <c r="Z10"/>
      <c r="AA10"/>
      <c r="AB10"/>
      <c r="AC10"/>
      <c r="AD10"/>
      <c r="AE10"/>
      <c r="AF10"/>
      <c r="AG10"/>
      <c r="AH10"/>
      <c r="AI10"/>
      <c r="AJ10"/>
      <c r="AK10"/>
      <c r="AL10"/>
      <c r="AM10"/>
      <c r="AN10"/>
    </row>
    <row r="11" spans="1:40" s="62" customFormat="1" x14ac:dyDescent="0.45">
      <c r="A11" s="2">
        <v>4</v>
      </c>
      <c r="B11" s="120" t="s">
        <v>1</v>
      </c>
      <c r="C11" s="121" t="s">
        <v>18</v>
      </c>
      <c r="D11" s="121" t="s">
        <v>124</v>
      </c>
      <c r="E11" s="121" t="s">
        <v>124</v>
      </c>
      <c r="F11" s="121" t="s">
        <v>124</v>
      </c>
      <c r="G11" s="121">
        <f>100+Radius</f>
        <v>150</v>
      </c>
      <c r="H11" s="121" t="s">
        <v>124</v>
      </c>
      <c r="I11" s="121" t="s">
        <v>124</v>
      </c>
      <c r="J11" s="121" t="s">
        <v>19</v>
      </c>
      <c r="K11" s="121">
        <v>0.5</v>
      </c>
      <c r="L11" s="121">
        <v>0.2</v>
      </c>
      <c r="M11" s="121"/>
      <c r="N11" s="121"/>
      <c r="O11" s="121"/>
      <c r="P11" s="121"/>
      <c r="Q11" s="17" t="s">
        <v>875</v>
      </c>
      <c r="R11"/>
      <c r="S11" s="5" t="s">
        <v>96</v>
      </c>
      <c r="T11" s="5">
        <v>1</v>
      </c>
      <c r="U11" s="5" t="s">
        <v>97</v>
      </c>
      <c r="V11"/>
      <c r="W11"/>
      <c r="X11"/>
      <c r="Y11"/>
      <c r="Z11"/>
      <c r="AA11"/>
      <c r="AB11"/>
      <c r="AC11"/>
      <c r="AD11"/>
      <c r="AE11"/>
      <c r="AF11"/>
      <c r="AG11"/>
      <c r="AH11"/>
      <c r="AI11"/>
      <c r="AJ11"/>
      <c r="AK11"/>
      <c r="AL11"/>
      <c r="AM11"/>
      <c r="AN11"/>
    </row>
    <row r="12" spans="1:40" s="62" customFormat="1" x14ac:dyDescent="0.45">
      <c r="A12" s="2">
        <v>5</v>
      </c>
      <c r="B12" s="129" t="s">
        <v>213</v>
      </c>
      <c r="C12" s="130">
        <v>100</v>
      </c>
      <c r="D12" s="130">
        <v>100</v>
      </c>
      <c r="E12" s="130" t="s">
        <v>964</v>
      </c>
      <c r="F12" s="130" t="s">
        <v>965</v>
      </c>
      <c r="G12" s="130" t="s">
        <v>966</v>
      </c>
      <c r="H12" s="130">
        <v>0</v>
      </c>
      <c r="I12" s="130">
        <f>(Height/LH)*PreviewFactor</f>
        <v>100</v>
      </c>
      <c r="J12" s="130">
        <f>TotalSegs*PreviewFactor</f>
        <v>25600</v>
      </c>
      <c r="K12" s="130" cm="1">
        <f t="array" ref="K12">FW</f>
        <v>0.5</v>
      </c>
      <c r="L12" s="130">
        <f>_xlfn.SINGLE(LH)</f>
        <v>0.2</v>
      </c>
      <c r="M12" s="130"/>
      <c r="N12" s="130"/>
      <c r="O12" s="130"/>
      <c r="P12" s="130"/>
      <c r="Q12" s="130" t="s">
        <v>931</v>
      </c>
      <c r="R12"/>
      <c r="S12" s="5" t="s">
        <v>233</v>
      </c>
      <c r="T12" s="5" t="s">
        <v>244</v>
      </c>
      <c r="U12" s="5"/>
      <c r="V12" s="5" t="s">
        <v>244</v>
      </c>
      <c r="W12" s="5" t="s">
        <v>244</v>
      </c>
      <c r="X12" s="5" t="s">
        <v>244</v>
      </c>
      <c r="Y12" s="5" t="s">
        <v>244</v>
      </c>
      <c r="Z12" s="5" t="s">
        <v>244</v>
      </c>
      <c r="AA12" s="5" t="s">
        <v>244</v>
      </c>
      <c r="AB12" s="107" t="s">
        <v>594</v>
      </c>
      <c r="AC12" s="108" t="s">
        <v>635</v>
      </c>
      <c r="AD12" s="5" t="s">
        <v>244</v>
      </c>
      <c r="AE12" s="5" t="s">
        <v>244</v>
      </c>
      <c r="AF12" s="5" t="s">
        <v>244</v>
      </c>
      <c r="AG12" s="5" t="s">
        <v>244</v>
      </c>
      <c r="AH12" s="5" t="s">
        <v>244</v>
      </c>
      <c r="AI12"/>
      <c r="AJ12"/>
      <c r="AK12"/>
      <c r="AL12"/>
      <c r="AM12"/>
      <c r="AN12"/>
    </row>
    <row r="13" spans="1:40" s="62" customFormat="1" x14ac:dyDescent="0.45">
      <c r="A13" s="2">
        <v>6</v>
      </c>
      <c r="B13" s="123"/>
      <c r="C13" s="2"/>
      <c r="D13" s="2"/>
      <c r="E13" s="2"/>
      <c r="F13" s="2"/>
      <c r="G13" s="2"/>
      <c r="H13" s="2"/>
      <c r="I13" s="2"/>
      <c r="J13" s="2"/>
      <c r="K13" s="2"/>
      <c r="L13" s="2"/>
      <c r="M13" s="2"/>
      <c r="N13" s="2"/>
      <c r="O13" s="2"/>
      <c r="P13" s="2"/>
      <c r="Q13" s="2"/>
      <c r="R13"/>
      <c r="S13" s="5" t="s">
        <v>234</v>
      </c>
      <c r="T13" s="5">
        <v>0</v>
      </c>
      <c r="U13" s="5"/>
      <c r="V13"/>
      <c r="W13"/>
      <c r="X13"/>
      <c r="Y13"/>
      <c r="Z13"/>
      <c r="AA13"/>
      <c r="AB13"/>
      <c r="AC13"/>
      <c r="AD13"/>
      <c r="AE13"/>
      <c r="AF13"/>
      <c r="AG13"/>
      <c r="AH13"/>
      <c r="AI13"/>
      <c r="AJ13"/>
      <c r="AK13"/>
      <c r="AL13"/>
      <c r="AM13"/>
      <c r="AN13"/>
    </row>
    <row r="14" spans="1:40" s="62" customFormat="1" x14ac:dyDescent="0.45">
      <c r="A14" s="2">
        <v>7</v>
      </c>
      <c r="B14" s="123"/>
      <c r="C14" s="2"/>
      <c r="D14" s="2"/>
      <c r="E14" s="2"/>
      <c r="F14" s="2"/>
      <c r="G14" s="2"/>
      <c r="H14" s="2"/>
      <c r="I14" s="2"/>
      <c r="J14" s="2"/>
      <c r="K14" s="2"/>
      <c r="L14" s="2"/>
      <c r="M14" s="2"/>
      <c r="N14" s="2"/>
      <c r="O14" s="2"/>
      <c r="P14" s="2"/>
      <c r="Q14" s="2"/>
      <c r="R14"/>
      <c r="S14" s="46"/>
      <c r="T14" s="46"/>
      <c r="U14" s="71"/>
      <c r="V14"/>
      <c r="W14"/>
      <c r="X14"/>
      <c r="Y14"/>
      <c r="Z14"/>
      <c r="AA14"/>
      <c r="AB14"/>
      <c r="AC14"/>
      <c r="AD14"/>
      <c r="AE14"/>
      <c r="AF14"/>
      <c r="AG14"/>
      <c r="AH14"/>
      <c r="AI14"/>
      <c r="AJ14"/>
      <c r="AK14"/>
      <c r="AL14"/>
      <c r="AM14"/>
      <c r="AN14"/>
    </row>
    <row r="15" spans="1:40" s="62" customFormat="1" x14ac:dyDescent="0.45">
      <c r="A15" s="2">
        <v>8</v>
      </c>
      <c r="B15" s="123"/>
      <c r="C15" s="2"/>
      <c r="D15" s="2"/>
      <c r="E15" s="2"/>
      <c r="F15" s="2"/>
      <c r="G15" s="2"/>
      <c r="H15" s="2"/>
      <c r="I15" s="2"/>
      <c r="J15" s="2"/>
      <c r="K15" s="2"/>
      <c r="L15" s="2"/>
      <c r="M15" s="2"/>
      <c r="N15" s="2"/>
      <c r="O15" s="2"/>
      <c r="P15" s="2"/>
      <c r="Q15" s="2"/>
      <c r="R15"/>
      <c r="S15" s="5" t="s">
        <v>378</v>
      </c>
      <c r="T15" s="103">
        <v>60</v>
      </c>
      <c r="U15" s="5" t="s">
        <v>43</v>
      </c>
      <c r="V15" s="102">
        <v>60</v>
      </c>
      <c r="W15" s="103">
        <v>60</v>
      </c>
      <c r="X15" s="117">
        <v>60</v>
      </c>
      <c r="Y15" s="104">
        <v>60</v>
      </c>
      <c r="Z15" s="106">
        <v>60</v>
      </c>
      <c r="AA15" s="107">
        <v>60</v>
      </c>
      <c r="AB15" s="107">
        <v>60</v>
      </c>
      <c r="AC15" s="114">
        <v>60</v>
      </c>
      <c r="AD15" s="115">
        <v>60</v>
      </c>
      <c r="AE15" s="116">
        <v>60</v>
      </c>
      <c r="AF15" s="118">
        <v>60</v>
      </c>
      <c r="AG15" s="112">
        <v>60</v>
      </c>
      <c r="AH15" s="119">
        <v>60</v>
      </c>
      <c r="AI15"/>
      <c r="AJ15"/>
      <c r="AK15"/>
      <c r="AL15"/>
      <c r="AM15"/>
      <c r="AN15"/>
    </row>
    <row r="16" spans="1:40" s="62" customFormat="1" x14ac:dyDescent="0.45">
      <c r="A16" s="2">
        <v>9</v>
      </c>
      <c r="B16" s="131"/>
      <c r="C16" s="2"/>
      <c r="D16" s="2"/>
      <c r="E16" s="2"/>
      <c r="F16" s="2"/>
      <c r="G16" s="2"/>
      <c r="H16" s="2"/>
      <c r="I16" s="2"/>
      <c r="J16" s="2"/>
      <c r="K16" s="2"/>
      <c r="L16" s="2"/>
      <c r="M16" s="2"/>
      <c r="N16" s="2"/>
      <c r="O16" s="2"/>
      <c r="P16" s="2"/>
      <c r="Q16" s="2"/>
      <c r="R16"/>
      <c r="S16" s="5" t="s">
        <v>93</v>
      </c>
      <c r="T16" s="5">
        <v>2000</v>
      </c>
      <c r="U16" s="5" t="s">
        <v>45</v>
      </c>
      <c r="V16"/>
      <c r="W16"/>
      <c r="X16"/>
      <c r="Y16"/>
      <c r="Z16"/>
      <c r="AA16"/>
      <c r="AB16"/>
      <c r="AC16"/>
      <c r="AD16"/>
      <c r="AE16"/>
      <c r="AF16"/>
      <c r="AG16"/>
      <c r="AH16"/>
      <c r="AI16"/>
      <c r="AJ16"/>
      <c r="AK16"/>
      <c r="AL16"/>
      <c r="AM16"/>
      <c r="AN16"/>
    </row>
    <row r="17" spans="1:40" s="62" customFormat="1" x14ac:dyDescent="0.45">
      <c r="A17"/>
      <c r="Q17"/>
      <c r="R17"/>
      <c r="S17" s="5" t="s">
        <v>94</v>
      </c>
      <c r="T17" s="5">
        <v>2000</v>
      </c>
      <c r="U17" s="5" t="s">
        <v>45</v>
      </c>
      <c r="V17"/>
      <c r="W17"/>
      <c r="X17"/>
      <c r="Y17"/>
      <c r="Z17"/>
      <c r="AA17"/>
      <c r="AB17"/>
      <c r="AC17"/>
      <c r="AD17"/>
      <c r="AE17"/>
      <c r="AF17"/>
      <c r="AG17"/>
      <c r="AH17"/>
      <c r="AI17"/>
      <c r="AJ17"/>
      <c r="AK17"/>
      <c r="AL17"/>
      <c r="AM17"/>
      <c r="AN17"/>
    </row>
    <row r="18" spans="1:40" s="62" customFormat="1" x14ac:dyDescent="0.45">
      <c r="A18"/>
      <c r="Q18"/>
      <c r="R18"/>
      <c r="S18" s="5" t="s">
        <v>41</v>
      </c>
      <c r="T18" s="103">
        <v>210</v>
      </c>
      <c r="U18" s="5" t="s">
        <v>43</v>
      </c>
      <c r="V18" s="102">
        <v>210</v>
      </c>
      <c r="W18" s="103">
        <v>210</v>
      </c>
      <c r="X18" s="117">
        <v>210</v>
      </c>
      <c r="Y18" s="104">
        <v>215</v>
      </c>
      <c r="Z18" s="106">
        <v>220</v>
      </c>
      <c r="AA18" s="107">
        <v>210</v>
      </c>
      <c r="AB18" s="107">
        <v>210</v>
      </c>
      <c r="AC18" s="114">
        <v>210</v>
      </c>
      <c r="AD18" s="115">
        <v>210</v>
      </c>
      <c r="AE18" s="116">
        <v>210</v>
      </c>
      <c r="AF18" s="118">
        <v>210</v>
      </c>
      <c r="AG18" s="112">
        <v>210</v>
      </c>
      <c r="AH18" s="119">
        <v>210</v>
      </c>
      <c r="AI18"/>
      <c r="AJ18"/>
      <c r="AK18"/>
      <c r="AL18"/>
      <c r="AM18"/>
      <c r="AN18"/>
    </row>
    <row r="19" spans="1:40" s="62" customFormat="1" x14ac:dyDescent="0.45">
      <c r="A19"/>
      <c r="Q19"/>
      <c r="R19"/>
      <c r="S19" s="5" t="s">
        <v>42</v>
      </c>
      <c r="T19" s="103">
        <v>1.75</v>
      </c>
      <c r="U19" s="5" t="s">
        <v>44</v>
      </c>
      <c r="V19" s="102">
        <v>2.85</v>
      </c>
      <c r="W19" s="103">
        <v>1.75</v>
      </c>
      <c r="X19" s="117">
        <v>1.75</v>
      </c>
      <c r="Y19" s="105">
        <v>1.75</v>
      </c>
      <c r="Z19" s="106">
        <v>1.75</v>
      </c>
      <c r="AA19" s="107">
        <v>1.75</v>
      </c>
      <c r="AB19" s="107">
        <v>1.75</v>
      </c>
      <c r="AC19" s="114">
        <v>1.75</v>
      </c>
      <c r="AD19" s="115">
        <v>1.75</v>
      </c>
      <c r="AE19" s="116">
        <v>1.75</v>
      </c>
      <c r="AF19" s="118">
        <v>1.75</v>
      </c>
      <c r="AG19" s="112">
        <v>2.85</v>
      </c>
      <c r="AH19" s="119">
        <v>1.75</v>
      </c>
      <c r="AI19"/>
      <c r="AJ19"/>
      <c r="AK19"/>
      <c r="AL19"/>
      <c r="AM19"/>
      <c r="AN19"/>
    </row>
    <row r="20" spans="1:40" s="62" customFormat="1" x14ac:dyDescent="0.45">
      <c r="A20"/>
      <c r="Q20"/>
      <c r="R20"/>
      <c r="S20" s="5" t="s">
        <v>46</v>
      </c>
      <c r="T20" s="103" t="s">
        <v>44</v>
      </c>
      <c r="U20" s="5" t="s">
        <v>98</v>
      </c>
      <c r="V20" s="102" t="s">
        <v>89</v>
      </c>
      <c r="W20" s="103" t="s">
        <v>44</v>
      </c>
      <c r="X20" s="117" t="s">
        <v>44</v>
      </c>
      <c r="Y20" s="105" t="s">
        <v>44</v>
      </c>
      <c r="Z20" s="106" t="s">
        <v>44</v>
      </c>
      <c r="AA20" s="107" t="s">
        <v>44</v>
      </c>
      <c r="AB20" s="107" t="s">
        <v>44</v>
      </c>
      <c r="AC20" s="114" t="s">
        <v>44</v>
      </c>
      <c r="AD20" s="115" t="s">
        <v>44</v>
      </c>
      <c r="AE20" s="116" t="s">
        <v>44</v>
      </c>
      <c r="AF20" s="118" t="s">
        <v>44</v>
      </c>
      <c r="AG20" s="112" t="s">
        <v>89</v>
      </c>
      <c r="AH20" s="119" t="s">
        <v>44</v>
      </c>
      <c r="AI20"/>
      <c r="AJ20"/>
      <c r="AK20"/>
      <c r="AL20"/>
      <c r="AM20"/>
      <c r="AN20"/>
    </row>
    <row r="21" spans="1:40" s="62" customFormat="1" x14ac:dyDescent="0.45">
      <c r="A21"/>
      <c r="Q21"/>
      <c r="R21"/>
      <c r="S21" s="5" t="s">
        <v>132</v>
      </c>
      <c r="T21" s="103" t="s">
        <v>459</v>
      </c>
      <c r="U21" s="5"/>
      <c r="V21" s="102" t="s">
        <v>193</v>
      </c>
      <c r="W21" s="103" t="s">
        <v>459</v>
      </c>
      <c r="X21" s="117" t="s">
        <v>434</v>
      </c>
      <c r="Y21" s="24" t="s">
        <v>553</v>
      </c>
      <c r="Z21" s="106" t="s">
        <v>503</v>
      </c>
      <c r="AA21" s="107" t="s">
        <v>593</v>
      </c>
      <c r="AB21" s="107" t="s">
        <v>594</v>
      </c>
      <c r="AC21" s="114" t="s">
        <v>641</v>
      </c>
      <c r="AD21" s="115" t="s">
        <v>673</v>
      </c>
      <c r="AE21" s="116" t="s">
        <v>740</v>
      </c>
      <c r="AF21" s="118" t="s">
        <v>764</v>
      </c>
      <c r="AG21" s="112" t="s">
        <v>797</v>
      </c>
      <c r="AH21" s="119" t="s">
        <v>826</v>
      </c>
      <c r="AI21"/>
      <c r="AJ21"/>
      <c r="AK21"/>
      <c r="AL21"/>
      <c r="AM21"/>
      <c r="AN21"/>
    </row>
    <row r="22" spans="1:40" s="62" customFormat="1" x14ac:dyDescent="0.45">
      <c r="A22"/>
      <c r="Q22"/>
      <c r="R22"/>
      <c r="S22" s="5" t="s">
        <v>192</v>
      </c>
      <c r="T22" s="103" t="s">
        <v>459</v>
      </c>
      <c r="U22" s="5"/>
      <c r="V22" s="102" t="s">
        <v>163</v>
      </c>
      <c r="W22" s="103" t="s">
        <v>459</v>
      </c>
      <c r="X22" s="117" t="s">
        <v>434</v>
      </c>
      <c r="Y22" s="24" t="s">
        <v>553</v>
      </c>
      <c r="Z22" s="106" t="s">
        <v>503</v>
      </c>
      <c r="AA22" s="107" t="s">
        <v>593</v>
      </c>
      <c r="AB22" s="107" t="s">
        <v>594</v>
      </c>
      <c r="AC22" s="114" t="s">
        <v>641</v>
      </c>
      <c r="AD22" s="115" t="s">
        <v>673</v>
      </c>
      <c r="AE22" s="116" t="s">
        <v>740</v>
      </c>
      <c r="AF22" s="118" t="s">
        <v>764</v>
      </c>
      <c r="AG22" s="112" t="s">
        <v>797</v>
      </c>
      <c r="AH22" s="119" t="s">
        <v>826</v>
      </c>
      <c r="AI22"/>
      <c r="AJ22"/>
      <c r="AK22"/>
      <c r="AL22"/>
      <c r="AM22"/>
      <c r="AN22"/>
    </row>
    <row r="23" spans="1:40" s="62" customFormat="1" x14ac:dyDescent="0.45">
      <c r="A23"/>
      <c r="Q23"/>
      <c r="R23"/>
      <c r="S23" s="5" t="s">
        <v>207</v>
      </c>
      <c r="T23" s="5">
        <v>20</v>
      </c>
      <c r="U23" s="5" t="s">
        <v>44</v>
      </c>
      <c r="V23"/>
      <c r="W23"/>
      <c r="X23"/>
      <c r="Y23"/>
      <c r="Z23"/>
      <c r="AA23"/>
      <c r="AB23"/>
      <c r="AC23"/>
      <c r="AD23"/>
      <c r="AE23"/>
      <c r="AF23"/>
      <c r="AG23"/>
      <c r="AH23"/>
      <c r="AI23"/>
      <c r="AJ23"/>
      <c r="AK23"/>
      <c r="AL23"/>
      <c r="AM23"/>
      <c r="AN23"/>
    </row>
    <row r="24" spans="1:40" s="62" customFormat="1" x14ac:dyDescent="0.45">
      <c r="A24"/>
      <c r="Q24"/>
      <c r="R24"/>
      <c r="S24" s="5" t="s">
        <v>208</v>
      </c>
      <c r="T24" s="5">
        <v>10</v>
      </c>
      <c r="U24" s="5" t="s">
        <v>44</v>
      </c>
      <c r="V24"/>
      <c r="W24"/>
      <c r="X24"/>
      <c r="Y24"/>
      <c r="Z24"/>
      <c r="AA24"/>
      <c r="AB24"/>
      <c r="AC24"/>
      <c r="AD24"/>
      <c r="AE24"/>
      <c r="AF24"/>
      <c r="AG24"/>
      <c r="AH24"/>
      <c r="AI24"/>
      <c r="AJ24"/>
      <c r="AK24"/>
      <c r="AL24"/>
      <c r="AM24"/>
      <c r="AN24"/>
    </row>
    <row r="25" spans="1:40" s="62" customFormat="1" x14ac:dyDescent="0.45">
      <c r="A25"/>
      <c r="Q25"/>
      <c r="R25"/>
      <c r="S25" s="5" t="s">
        <v>209</v>
      </c>
      <c r="T25" s="5">
        <v>0.3</v>
      </c>
      <c r="U25" s="5" t="s">
        <v>44</v>
      </c>
      <c r="V25"/>
      <c r="W25"/>
      <c r="X25"/>
      <c r="Y25"/>
      <c r="Z25"/>
      <c r="AA25"/>
      <c r="AB25"/>
      <c r="AC25"/>
      <c r="AD25"/>
      <c r="AE25"/>
      <c r="AF25"/>
      <c r="AG25"/>
      <c r="AH25"/>
      <c r="AI25"/>
      <c r="AJ25"/>
      <c r="AK25"/>
      <c r="AL25"/>
      <c r="AM25"/>
      <c r="AN25"/>
    </row>
    <row r="26" spans="1:40" s="62" customFormat="1" x14ac:dyDescent="0.45">
      <c r="A26"/>
      <c r="Q26"/>
      <c r="R26"/>
      <c r="S26" s="59" t="s">
        <v>379</v>
      </c>
      <c r="T26" s="5">
        <v>255</v>
      </c>
      <c r="U26" s="5"/>
      <c r="V26" s="1"/>
      <c r="W26"/>
      <c r="X26"/>
      <c r="Y26"/>
      <c r="Z26"/>
      <c r="AA26"/>
      <c r="AB26"/>
      <c r="AC26"/>
      <c r="AD26"/>
      <c r="AE26"/>
      <c r="AF26"/>
      <c r="AG26"/>
      <c r="AH26"/>
      <c r="AI26"/>
      <c r="AJ26"/>
      <c r="AK26"/>
      <c r="AL26"/>
      <c r="AM26"/>
      <c r="AN26"/>
    </row>
    <row r="27" spans="1:40" s="62" customFormat="1" x14ac:dyDescent="0.45">
      <c r="A27"/>
      <c r="Q27"/>
      <c r="R27"/>
      <c r="S27" s="5" t="s">
        <v>194</v>
      </c>
      <c r="T27" s="5" t="s">
        <v>206</v>
      </c>
      <c r="U27" s="5" t="s">
        <v>198</v>
      </c>
      <c r="V27"/>
      <c r="W27"/>
      <c r="X27"/>
      <c r="Y27"/>
      <c r="Z27"/>
      <c r="AA27"/>
      <c r="AB27"/>
      <c r="AC27"/>
      <c r="AD27"/>
      <c r="AE27"/>
      <c r="AF27"/>
      <c r="AG27"/>
      <c r="AH27"/>
      <c r="AI27"/>
      <c r="AJ27"/>
      <c r="AK27"/>
      <c r="AL27"/>
      <c r="AM27"/>
      <c r="AN27"/>
    </row>
    <row r="28" spans="1:40" s="62" customFormat="1" x14ac:dyDescent="0.45">
      <c r="A28"/>
      <c r="Q28"/>
      <c r="R28"/>
      <c r="S28" s="5" t="s">
        <v>199</v>
      </c>
      <c r="T28" s="5">
        <v>5</v>
      </c>
      <c r="U28" s="5" t="s">
        <v>44</v>
      </c>
      <c r="V28" s="1"/>
      <c r="W28"/>
      <c r="X28"/>
      <c r="Y28"/>
      <c r="Z28"/>
      <c r="AA28"/>
      <c r="AB28"/>
      <c r="AC28"/>
      <c r="AD28"/>
      <c r="AE28"/>
      <c r="AF28"/>
      <c r="AG28"/>
      <c r="AH28"/>
      <c r="AI28"/>
      <c r="AJ28"/>
      <c r="AK28"/>
      <c r="AL28"/>
      <c r="AM28"/>
      <c r="AN28"/>
    </row>
    <row r="29" spans="1:40" s="62" customFormat="1" x14ac:dyDescent="0.45">
      <c r="A29"/>
      <c r="Q29"/>
      <c r="R29"/>
      <c r="S29" s="5" t="s">
        <v>200</v>
      </c>
      <c r="T29" s="5">
        <v>1</v>
      </c>
      <c r="U29" s="5" t="s">
        <v>98</v>
      </c>
      <c r="V29"/>
      <c r="W29"/>
      <c r="X29"/>
      <c r="Y29"/>
      <c r="Z29"/>
      <c r="AA29"/>
      <c r="AB29"/>
      <c r="AC29"/>
      <c r="AD29"/>
      <c r="AE29"/>
      <c r="AF29"/>
      <c r="AG29"/>
      <c r="AH29"/>
      <c r="AI29"/>
      <c r="AJ29"/>
      <c r="AK29"/>
      <c r="AL29"/>
      <c r="AM29"/>
      <c r="AN29"/>
    </row>
    <row r="30" spans="1:40" s="62" customFormat="1" x14ac:dyDescent="0.45">
      <c r="A30"/>
      <c r="Q30"/>
      <c r="R30"/>
      <c r="S30" s="5" t="s">
        <v>201</v>
      </c>
      <c r="T30" s="5">
        <v>3000</v>
      </c>
      <c r="U30" s="5" t="s">
        <v>45</v>
      </c>
      <c r="V30"/>
      <c r="W30"/>
      <c r="X30"/>
      <c r="Y30"/>
      <c r="Z30"/>
      <c r="AA30"/>
      <c r="AB30"/>
      <c r="AC30"/>
      <c r="AD30"/>
      <c r="AE30"/>
      <c r="AF30"/>
      <c r="AG30"/>
      <c r="AH30"/>
      <c r="AI30"/>
      <c r="AJ30"/>
      <c r="AK30"/>
      <c r="AL30"/>
      <c r="AM30"/>
      <c r="AN30"/>
    </row>
    <row r="31" spans="1:40" s="62" customFormat="1" x14ac:dyDescent="0.45">
      <c r="A31"/>
      <c r="Q31"/>
      <c r="R31"/>
      <c r="S31" s="5" t="s">
        <v>202</v>
      </c>
      <c r="T31" s="5">
        <v>-1</v>
      </c>
      <c r="U31" s="5" t="s">
        <v>98</v>
      </c>
      <c r="V31"/>
      <c r="W31"/>
      <c r="X31"/>
      <c r="Y31"/>
      <c r="Z31"/>
      <c r="AA31"/>
      <c r="AB31"/>
      <c r="AC31"/>
      <c r="AD31"/>
      <c r="AE31"/>
      <c r="AF31"/>
      <c r="AG31"/>
      <c r="AH31"/>
      <c r="AI31"/>
      <c r="AJ31"/>
      <c r="AK31"/>
      <c r="AL31"/>
      <c r="AM31"/>
      <c r="AN31"/>
    </row>
    <row r="32" spans="1:40" s="62" customFormat="1" x14ac:dyDescent="0.45">
      <c r="A32"/>
      <c r="Q32"/>
      <c r="R32"/>
      <c r="S32" s="3" t="s">
        <v>203</v>
      </c>
      <c r="T32" s="3">
        <v>3000</v>
      </c>
      <c r="U32" s="5" t="s">
        <v>45</v>
      </c>
      <c r="V32"/>
      <c r="W32"/>
      <c r="X32"/>
      <c r="Y32"/>
      <c r="Z32"/>
      <c r="AA32"/>
      <c r="AB32"/>
      <c r="AC32"/>
      <c r="AD32"/>
      <c r="AE32"/>
      <c r="AF32"/>
      <c r="AG32"/>
      <c r="AH32"/>
      <c r="AI32"/>
      <c r="AJ32"/>
      <c r="AK32"/>
      <c r="AL32"/>
      <c r="AM32"/>
      <c r="AN32"/>
    </row>
    <row r="33" spans="1:40" s="62" customFormat="1" x14ac:dyDescent="0.45">
      <c r="Q33"/>
      <c r="R33"/>
      <c r="S33" s="3" t="s">
        <v>204</v>
      </c>
      <c r="T33" s="3">
        <v>0.25</v>
      </c>
      <c r="U33" s="5" t="s">
        <v>44</v>
      </c>
      <c r="V33"/>
      <c r="W33"/>
      <c r="X33"/>
      <c r="Y33"/>
      <c r="Z33"/>
      <c r="AA33"/>
      <c r="AB33"/>
      <c r="AC33"/>
      <c r="AD33"/>
      <c r="AE33"/>
      <c r="AF33"/>
      <c r="AG33"/>
      <c r="AH33"/>
      <c r="AI33"/>
      <c r="AJ33"/>
      <c r="AK33"/>
      <c r="AL33"/>
      <c r="AM33"/>
      <c r="AN33"/>
    </row>
    <row r="34" spans="1:40" s="62" customFormat="1" x14ac:dyDescent="0.45">
      <c r="A34"/>
      <c r="Q34"/>
      <c r="R34"/>
      <c r="S34" s="3" t="s">
        <v>205</v>
      </c>
      <c r="T34" s="3">
        <v>7500</v>
      </c>
      <c r="U34" s="5" t="s">
        <v>45</v>
      </c>
      <c r="V34"/>
      <c r="W34"/>
      <c r="X34"/>
      <c r="Y34"/>
      <c r="Z34"/>
      <c r="AA34"/>
      <c r="AB34"/>
      <c r="AC34"/>
      <c r="AD34"/>
      <c r="AE34"/>
      <c r="AF34"/>
      <c r="AG34"/>
      <c r="AH34"/>
      <c r="AI34"/>
      <c r="AJ34"/>
      <c r="AK34"/>
      <c r="AL34"/>
      <c r="AM34"/>
      <c r="AN34"/>
    </row>
    <row r="35" spans="1:40" s="62" customFormat="1" x14ac:dyDescent="0.45">
      <c r="R35"/>
      <c r="S35"/>
      <c r="T35"/>
      <c r="U35" s="70"/>
      <c r="V35"/>
      <c r="W35"/>
      <c r="X35"/>
      <c r="Y35"/>
      <c r="Z35"/>
      <c r="AA35"/>
      <c r="AB35"/>
      <c r="AC35"/>
      <c r="AD35"/>
      <c r="AE35"/>
      <c r="AF35"/>
      <c r="AG35"/>
      <c r="AH35"/>
      <c r="AI35"/>
      <c r="AJ35"/>
      <c r="AK35"/>
      <c r="AL35"/>
      <c r="AM35"/>
      <c r="AN35"/>
    </row>
    <row r="36" spans="1:40" s="62" customFormat="1" x14ac:dyDescent="0.45">
      <c r="B36" s="141" t="s">
        <v>40</v>
      </c>
      <c r="C36" s="142"/>
      <c r="D36" s="142"/>
      <c r="E36" s="142"/>
      <c r="F36" s="142"/>
      <c r="G36" s="142"/>
      <c r="H36" s="142"/>
      <c r="I36" s="142"/>
      <c r="J36" s="142"/>
      <c r="K36" s="142"/>
      <c r="L36" s="143"/>
      <c r="N36" s="133" t="s">
        <v>950</v>
      </c>
      <c r="O36" s="133"/>
      <c r="P36" s="77">
        <v>0.2</v>
      </c>
      <c r="R36"/>
      <c r="S36" s="77" t="s">
        <v>332</v>
      </c>
      <c r="T36" s="77" t="s">
        <v>333</v>
      </c>
      <c r="U36" s="78" t="s">
        <v>371</v>
      </c>
      <c r="V36"/>
      <c r="W36"/>
      <c r="X36"/>
      <c r="Y36"/>
      <c r="Z36"/>
      <c r="AA36"/>
      <c r="AB36"/>
      <c r="AC36"/>
      <c r="AD36"/>
      <c r="AE36"/>
      <c r="AF36"/>
      <c r="AG36"/>
      <c r="AH36"/>
      <c r="AI36"/>
      <c r="AJ36"/>
      <c r="AK36"/>
      <c r="AL36"/>
      <c r="AM36"/>
      <c r="AN36"/>
    </row>
    <row r="37" spans="1:40" s="62" customFormat="1" x14ac:dyDescent="0.45">
      <c r="B37" s="125" t="s">
        <v>949</v>
      </c>
      <c r="C37" s="57" t="s">
        <v>912</v>
      </c>
      <c r="D37" s="125"/>
      <c r="E37" s="137"/>
      <c r="F37" s="138"/>
      <c r="G37" s="138"/>
      <c r="H37" s="138"/>
      <c r="I37" s="138"/>
      <c r="J37" s="138"/>
      <c r="K37" s="138"/>
      <c r="L37" s="139"/>
      <c r="R37"/>
      <c r="S37" s="57" t="s">
        <v>932</v>
      </c>
      <c r="T37" s="57" t="str">
        <f t="shared" ref="T37:T47" si="0">C37</f>
        <v>A</v>
      </c>
      <c r="U37" s="73"/>
      <c r="V37"/>
      <c r="W37"/>
      <c r="X37"/>
      <c r="Y37"/>
      <c r="Z37"/>
      <c r="AA37"/>
      <c r="AB37"/>
      <c r="AC37"/>
      <c r="AD37"/>
      <c r="AE37"/>
      <c r="AF37"/>
      <c r="AG37"/>
      <c r="AH37"/>
      <c r="AI37"/>
      <c r="AJ37"/>
      <c r="AK37"/>
      <c r="AL37"/>
      <c r="AM37"/>
      <c r="AN37"/>
    </row>
    <row r="38" spans="1:40" s="62" customFormat="1" x14ac:dyDescent="0.45">
      <c r="B38" s="125" t="s">
        <v>877</v>
      </c>
      <c r="C38" s="57">
        <v>0.2</v>
      </c>
      <c r="D38" s="125" t="s">
        <v>44</v>
      </c>
      <c r="E38" s="137"/>
      <c r="F38" s="138"/>
      <c r="G38" s="138"/>
      <c r="H38" s="138"/>
      <c r="I38" s="138"/>
      <c r="J38" s="138"/>
      <c r="K38" s="138"/>
      <c r="L38" s="139"/>
      <c r="R38"/>
      <c r="S38" s="57" t="s">
        <v>881</v>
      </c>
      <c r="T38" s="57">
        <f t="shared" si="0"/>
        <v>0.2</v>
      </c>
      <c r="U38" s="73" t="s">
        <v>44</v>
      </c>
      <c r="V38"/>
      <c r="W38"/>
      <c r="X38"/>
      <c r="Y38"/>
      <c r="Z38"/>
      <c r="AA38"/>
      <c r="AB38"/>
      <c r="AC38"/>
      <c r="AD38"/>
      <c r="AE38"/>
      <c r="AF38"/>
      <c r="AG38"/>
      <c r="AH38"/>
      <c r="AI38"/>
      <c r="AJ38"/>
      <c r="AK38"/>
      <c r="AL38"/>
      <c r="AM38"/>
      <c r="AN38"/>
    </row>
    <row r="39" spans="1:40" s="62" customFormat="1" x14ac:dyDescent="0.45">
      <c r="B39" s="125" t="s">
        <v>878</v>
      </c>
      <c r="C39" s="57">
        <v>0.5</v>
      </c>
      <c r="D39" s="125" t="s">
        <v>44</v>
      </c>
      <c r="E39" s="137"/>
      <c r="F39" s="138"/>
      <c r="G39" s="138"/>
      <c r="H39" s="138"/>
      <c r="I39" s="138"/>
      <c r="J39" s="138"/>
      <c r="K39" s="138"/>
      <c r="L39" s="139"/>
      <c r="R39"/>
      <c r="S39" s="57" t="s">
        <v>884</v>
      </c>
      <c r="T39" s="57">
        <f t="shared" si="0"/>
        <v>0.5</v>
      </c>
      <c r="U39" s="73" t="s">
        <v>44</v>
      </c>
      <c r="V39"/>
      <c r="W39"/>
      <c r="X39"/>
      <c r="Y39"/>
      <c r="Z39"/>
      <c r="AA39"/>
      <c r="AB39"/>
      <c r="AC39"/>
      <c r="AD39"/>
      <c r="AE39"/>
      <c r="AF39"/>
      <c r="AG39"/>
      <c r="AH39"/>
      <c r="AI39"/>
      <c r="AJ39"/>
      <c r="AK39"/>
      <c r="AL39"/>
      <c r="AM39"/>
      <c r="AN39"/>
    </row>
    <row r="40" spans="1:40" s="62" customFormat="1" x14ac:dyDescent="0.45">
      <c r="B40" s="125" t="s">
        <v>880</v>
      </c>
      <c r="C40" s="57">
        <v>100</v>
      </c>
      <c r="D40" s="125" t="s">
        <v>44</v>
      </c>
      <c r="E40" s="137"/>
      <c r="F40" s="138"/>
      <c r="G40" s="138"/>
      <c r="H40" s="138"/>
      <c r="I40" s="138"/>
      <c r="J40" s="138"/>
      <c r="K40" s="138"/>
      <c r="L40" s="139"/>
      <c r="S40" s="57" t="s">
        <v>220</v>
      </c>
      <c r="T40" s="57">
        <f t="shared" si="0"/>
        <v>100</v>
      </c>
      <c r="U40" s="57" t="s">
        <v>44</v>
      </c>
    </row>
    <row r="41" spans="1:40" s="62" customFormat="1" x14ac:dyDescent="0.45">
      <c r="B41" s="125" t="s">
        <v>882</v>
      </c>
      <c r="C41" s="57">
        <v>50</v>
      </c>
      <c r="D41" s="125" t="s">
        <v>44</v>
      </c>
      <c r="E41" s="137" t="s">
        <v>953</v>
      </c>
      <c r="F41" s="138"/>
      <c r="G41" s="138"/>
      <c r="H41" s="138"/>
      <c r="I41" s="138"/>
      <c r="J41" s="138"/>
      <c r="K41" s="138"/>
      <c r="L41" s="139"/>
      <c r="S41" s="57" t="s">
        <v>14</v>
      </c>
      <c r="T41" s="57">
        <f t="shared" si="0"/>
        <v>50</v>
      </c>
      <c r="U41" s="57" t="s">
        <v>44</v>
      </c>
    </row>
    <row r="42" spans="1:40" s="62" customFormat="1" x14ac:dyDescent="0.45">
      <c r="B42" s="125" t="s">
        <v>951</v>
      </c>
      <c r="C42" s="57">
        <v>16</v>
      </c>
      <c r="D42" s="125"/>
      <c r="E42" s="137" t="s">
        <v>955</v>
      </c>
      <c r="F42" s="138"/>
      <c r="G42" s="138"/>
      <c r="H42" s="138"/>
      <c r="I42" s="138"/>
      <c r="J42" s="138"/>
      <c r="K42" s="138"/>
      <c r="L42" s="139"/>
      <c r="S42" s="57" t="s">
        <v>946</v>
      </c>
      <c r="T42" s="57">
        <f t="shared" si="0"/>
        <v>16</v>
      </c>
      <c r="U42" s="57"/>
    </row>
    <row r="43" spans="1:40" s="62" customFormat="1" x14ac:dyDescent="0.45">
      <c r="B43" s="125" t="s">
        <v>952</v>
      </c>
      <c r="C43" s="57">
        <v>1</v>
      </c>
      <c r="D43" s="125"/>
      <c r="E43" s="137" t="s">
        <v>954</v>
      </c>
      <c r="F43" s="138"/>
      <c r="G43" s="138"/>
      <c r="H43" s="138"/>
      <c r="I43" s="138"/>
      <c r="J43" s="138"/>
      <c r="K43" s="138"/>
      <c r="L43" s="139"/>
      <c r="S43" s="57" t="s">
        <v>947</v>
      </c>
      <c r="T43" s="57">
        <f t="shared" si="0"/>
        <v>1</v>
      </c>
      <c r="U43" s="57"/>
    </row>
    <row r="44" spans="1:40" s="62" customFormat="1" x14ac:dyDescent="0.45">
      <c r="B44" s="125" t="s">
        <v>956</v>
      </c>
      <c r="C44" s="57">
        <v>10</v>
      </c>
      <c r="D44" s="125" t="s">
        <v>44</v>
      </c>
      <c r="E44" s="140" t="s">
        <v>957</v>
      </c>
      <c r="F44" s="138"/>
      <c r="G44" s="138"/>
      <c r="H44" s="138"/>
      <c r="I44" s="138"/>
      <c r="J44" s="138"/>
      <c r="K44" s="138"/>
      <c r="L44" s="139"/>
      <c r="S44" s="57" t="s">
        <v>948</v>
      </c>
      <c r="T44" s="57">
        <f t="shared" si="0"/>
        <v>10</v>
      </c>
      <c r="U44" s="57" t="s">
        <v>44</v>
      </c>
    </row>
    <row r="45" spans="1:40" s="62" customFormat="1" x14ac:dyDescent="0.45">
      <c r="B45" s="125" t="s">
        <v>898</v>
      </c>
      <c r="C45" s="57">
        <v>0</v>
      </c>
      <c r="D45" s="125"/>
      <c r="E45" s="137" t="s">
        <v>891</v>
      </c>
      <c r="F45" s="138"/>
      <c r="G45" s="138"/>
      <c r="H45" s="138"/>
      <c r="I45" s="138"/>
      <c r="J45" s="138"/>
      <c r="K45" s="138"/>
      <c r="L45" s="139"/>
      <c r="S45" s="57" t="s">
        <v>898</v>
      </c>
      <c r="T45" s="57">
        <f t="shared" si="0"/>
        <v>0</v>
      </c>
      <c r="U45" s="57" t="s">
        <v>943</v>
      </c>
    </row>
    <row r="46" spans="1:40" s="62" customFormat="1" x14ac:dyDescent="0.45">
      <c r="B46" s="125" t="s">
        <v>969</v>
      </c>
      <c r="C46" s="57">
        <v>0</v>
      </c>
      <c r="D46" s="126"/>
      <c r="E46" s="137" t="s">
        <v>968</v>
      </c>
      <c r="F46" s="138"/>
      <c r="G46" s="138"/>
      <c r="H46" s="138"/>
      <c r="I46" s="138"/>
      <c r="J46" s="138"/>
      <c r="K46" s="138"/>
      <c r="L46" s="139"/>
      <c r="S46" s="57" t="s">
        <v>917</v>
      </c>
      <c r="T46" s="57">
        <f t="shared" si="0"/>
        <v>0</v>
      </c>
      <c r="U46" s="73"/>
    </row>
    <row r="47" spans="1:40" s="62" customFormat="1" x14ac:dyDescent="0.45">
      <c r="B47" s="125" t="s">
        <v>887</v>
      </c>
      <c r="C47" s="57">
        <v>256</v>
      </c>
      <c r="D47" s="126"/>
      <c r="E47" s="137" t="s">
        <v>967</v>
      </c>
      <c r="F47" s="138"/>
      <c r="G47" s="138"/>
      <c r="H47" s="138"/>
      <c r="I47" s="138"/>
      <c r="J47" s="138"/>
      <c r="K47" s="138"/>
      <c r="L47" s="139"/>
      <c r="S47" s="57" t="s">
        <v>887</v>
      </c>
      <c r="T47" s="57">
        <f t="shared" si="0"/>
        <v>256</v>
      </c>
      <c r="U47" s="73"/>
    </row>
    <row r="48" spans="1:40" s="62" customFormat="1" x14ac:dyDescent="0.45">
      <c r="S48" s="57" t="s">
        <v>901</v>
      </c>
      <c r="T48" s="57">
        <f>2*PI()</f>
        <v>6.2831853071795862</v>
      </c>
      <c r="U48" s="57"/>
    </row>
    <row r="49" spans="1:21" s="62" customFormat="1" x14ac:dyDescent="0.45">
      <c r="S49" s="57" t="s">
        <v>904</v>
      </c>
      <c r="T49" s="57">
        <f>Segments*(Height/LH)</f>
        <v>128000</v>
      </c>
      <c r="U49" s="57"/>
    </row>
    <row r="50" spans="1:21" s="62" customFormat="1" x14ac:dyDescent="0.45">
      <c r="B50" s="134" t="s">
        <v>963</v>
      </c>
      <c r="C50" s="135"/>
      <c r="D50" s="135"/>
      <c r="E50" s="135"/>
      <c r="F50" s="135"/>
      <c r="G50" s="135"/>
      <c r="H50" s="135"/>
      <c r="I50" s="135"/>
      <c r="J50" s="136"/>
      <c r="S50" s="57" t="s">
        <v>944</v>
      </c>
      <c r="T50" s="57">
        <f>P36</f>
        <v>0.2</v>
      </c>
      <c r="U50" s="57" t="s">
        <v>945</v>
      </c>
    </row>
    <row r="51" spans="1:21" s="62" customFormat="1" ht="15" customHeight="1" x14ac:dyDescent="0.45">
      <c r="B51" s="77" t="s">
        <v>332</v>
      </c>
      <c r="C51" s="77" t="s">
        <v>333</v>
      </c>
      <c r="D51" s="77" t="s">
        <v>333</v>
      </c>
      <c r="E51" s="77" t="s">
        <v>333</v>
      </c>
      <c r="F51" s="77" t="s">
        <v>333</v>
      </c>
      <c r="G51" s="77" t="s">
        <v>333</v>
      </c>
      <c r="H51" s="77" t="s">
        <v>333</v>
      </c>
      <c r="I51" s="77" t="s">
        <v>333</v>
      </c>
      <c r="J51" s="77" t="s">
        <v>333</v>
      </c>
      <c r="S51" s="61"/>
      <c r="T51" s="61"/>
      <c r="U51" s="61"/>
    </row>
    <row r="52" spans="1:21" s="62" customFormat="1" x14ac:dyDescent="0.45">
      <c r="A52" s="61"/>
      <c r="B52" s="57" t="s">
        <v>932</v>
      </c>
      <c r="C52" s="57" t="s">
        <v>912</v>
      </c>
      <c r="D52" s="57" t="s">
        <v>913</v>
      </c>
      <c r="E52" s="57" t="s">
        <v>43</v>
      </c>
      <c r="F52" s="57" t="s">
        <v>914</v>
      </c>
      <c r="G52" s="57" t="s">
        <v>47</v>
      </c>
      <c r="H52" s="57" t="s">
        <v>123</v>
      </c>
      <c r="I52" s="57" t="s">
        <v>933</v>
      </c>
      <c r="J52" s="57" t="s">
        <v>934</v>
      </c>
      <c r="K52" s="61"/>
      <c r="L52" s="61"/>
      <c r="M52" s="61"/>
      <c r="N52" s="61"/>
      <c r="O52" s="61"/>
      <c r="P52" s="61"/>
      <c r="Q52" s="61"/>
      <c r="R52" s="61"/>
      <c r="S52" s="61"/>
      <c r="T52" s="61"/>
      <c r="U52" s="61"/>
    </row>
    <row r="53" spans="1:21" s="62" customFormat="1" x14ac:dyDescent="0.45">
      <c r="A53" s="61"/>
      <c r="B53" s="57" t="s">
        <v>881</v>
      </c>
      <c r="C53" s="57">
        <v>0.2</v>
      </c>
      <c r="D53" s="57">
        <v>0.2</v>
      </c>
      <c r="E53" s="57">
        <v>0.2</v>
      </c>
      <c r="F53" s="57">
        <v>0.2</v>
      </c>
      <c r="G53" s="57">
        <v>0.2</v>
      </c>
      <c r="H53" s="57">
        <v>0.2</v>
      </c>
      <c r="I53" s="57">
        <v>0.2</v>
      </c>
      <c r="J53" s="57">
        <v>0.2</v>
      </c>
      <c r="K53" s="61"/>
      <c r="L53" s="61"/>
      <c r="M53" s="61"/>
      <c r="N53" s="61"/>
      <c r="O53" s="61"/>
      <c r="P53" s="61"/>
      <c r="Q53" s="61"/>
      <c r="R53" s="61"/>
      <c r="S53" s="61"/>
      <c r="T53" s="61"/>
      <c r="U53" s="61"/>
    </row>
    <row r="54" spans="1:21" s="62" customFormat="1" x14ac:dyDescent="0.45">
      <c r="A54" s="61"/>
      <c r="B54" s="57" t="s">
        <v>884</v>
      </c>
      <c r="C54" s="57">
        <v>0.5</v>
      </c>
      <c r="D54" s="57">
        <v>0.5</v>
      </c>
      <c r="E54" s="57">
        <v>0.5</v>
      </c>
      <c r="F54" s="57">
        <v>0.5</v>
      </c>
      <c r="G54" s="57">
        <v>0.5</v>
      </c>
      <c r="H54" s="57">
        <v>0.5</v>
      </c>
      <c r="I54" s="57">
        <v>0.5</v>
      </c>
      <c r="J54" s="57">
        <v>0.5</v>
      </c>
      <c r="K54" s="61"/>
      <c r="L54" s="61"/>
      <c r="M54" s="61"/>
      <c r="N54" s="61"/>
      <c r="O54" s="61"/>
      <c r="P54" s="61"/>
      <c r="Q54" s="61"/>
      <c r="R54" s="61"/>
      <c r="S54" s="61"/>
      <c r="T54" s="61"/>
      <c r="U54" s="61"/>
    </row>
    <row r="55" spans="1:21" s="62" customFormat="1" x14ac:dyDescent="0.45">
      <c r="A55" s="61"/>
      <c r="B55" s="57" t="s">
        <v>220</v>
      </c>
      <c r="C55" s="57">
        <v>100</v>
      </c>
      <c r="D55" s="57">
        <v>100</v>
      </c>
      <c r="E55" s="57">
        <v>100</v>
      </c>
      <c r="F55" s="57">
        <v>100</v>
      </c>
      <c r="G55" s="57">
        <v>100</v>
      </c>
      <c r="H55" s="57">
        <v>100</v>
      </c>
      <c r="I55" s="57">
        <v>100</v>
      </c>
      <c r="J55" s="57">
        <v>100</v>
      </c>
      <c r="K55" s="61"/>
      <c r="L55" s="61"/>
      <c r="M55" s="61"/>
      <c r="N55" s="61"/>
      <c r="O55" s="61"/>
      <c r="P55" s="61"/>
      <c r="Q55" s="61"/>
      <c r="R55" s="61"/>
      <c r="S55" s="61"/>
      <c r="T55" s="61"/>
      <c r="U55" s="61"/>
    </row>
    <row r="56" spans="1:21" s="62" customFormat="1" x14ac:dyDescent="0.45">
      <c r="B56" s="57" t="s">
        <v>14</v>
      </c>
      <c r="C56" s="57">
        <v>50</v>
      </c>
      <c r="D56" s="57">
        <v>50</v>
      </c>
      <c r="E56" s="57">
        <v>50</v>
      </c>
      <c r="F56" s="57">
        <v>50</v>
      </c>
      <c r="G56" s="57">
        <v>50</v>
      </c>
      <c r="H56" s="57">
        <v>50</v>
      </c>
      <c r="I56" s="57">
        <v>50</v>
      </c>
      <c r="J56" s="57">
        <v>50</v>
      </c>
      <c r="R56" s="61"/>
      <c r="S56" s="61"/>
      <c r="T56" s="61"/>
      <c r="U56" s="61"/>
    </row>
    <row r="57" spans="1:21" s="62" customFormat="1" x14ac:dyDescent="0.45">
      <c r="B57" s="57" t="s">
        <v>946</v>
      </c>
      <c r="C57" s="57">
        <v>16</v>
      </c>
      <c r="D57" s="57">
        <v>16</v>
      </c>
      <c r="E57" s="57">
        <v>16</v>
      </c>
      <c r="F57" s="57">
        <v>16</v>
      </c>
      <c r="G57" s="57">
        <v>16</v>
      </c>
      <c r="H57" s="132">
        <v>32</v>
      </c>
      <c r="I57" s="132">
        <v>16</v>
      </c>
      <c r="J57" s="57">
        <v>16</v>
      </c>
      <c r="R57" s="61"/>
      <c r="S57" s="61"/>
      <c r="T57" s="61"/>
      <c r="U57" s="61"/>
    </row>
    <row r="58" spans="1:21" s="62" customFormat="1" x14ac:dyDescent="0.45">
      <c r="B58" s="57" t="s">
        <v>947</v>
      </c>
      <c r="C58" s="57">
        <v>1</v>
      </c>
      <c r="D58" s="57">
        <v>1</v>
      </c>
      <c r="E58" s="57">
        <v>1</v>
      </c>
      <c r="F58" s="57">
        <v>1</v>
      </c>
      <c r="G58" s="57">
        <v>1</v>
      </c>
      <c r="H58" s="57">
        <v>1</v>
      </c>
      <c r="I58" s="132">
        <v>4</v>
      </c>
      <c r="J58" s="57">
        <v>4</v>
      </c>
      <c r="R58" s="61"/>
      <c r="S58" s="61"/>
      <c r="T58" s="61"/>
      <c r="U58" s="61"/>
    </row>
    <row r="59" spans="1:21" s="62" customFormat="1" x14ac:dyDescent="0.45">
      <c r="B59" s="57" t="s">
        <v>948</v>
      </c>
      <c r="C59" s="57">
        <v>10</v>
      </c>
      <c r="D59" s="57">
        <v>10</v>
      </c>
      <c r="E59" s="57">
        <v>10</v>
      </c>
      <c r="F59" s="57">
        <v>10</v>
      </c>
      <c r="G59" s="57">
        <v>10</v>
      </c>
      <c r="H59" s="57">
        <v>10</v>
      </c>
      <c r="I59" s="57">
        <v>10</v>
      </c>
      <c r="J59" s="57">
        <v>10</v>
      </c>
      <c r="R59" s="61"/>
      <c r="S59" s="61"/>
      <c r="T59" s="61"/>
      <c r="U59" s="61"/>
    </row>
    <row r="60" spans="1:21" s="62" customFormat="1" x14ac:dyDescent="0.45">
      <c r="B60" s="57" t="s">
        <v>898</v>
      </c>
      <c r="C60" s="57">
        <v>0</v>
      </c>
      <c r="D60" s="132">
        <v>0.25</v>
      </c>
      <c r="E60" s="57">
        <v>0.25</v>
      </c>
      <c r="F60" s="57">
        <v>0.25</v>
      </c>
      <c r="G60" s="132">
        <v>0</v>
      </c>
      <c r="H60" s="57">
        <v>0</v>
      </c>
      <c r="I60" s="57">
        <v>0</v>
      </c>
      <c r="J60" s="132">
        <v>0.25</v>
      </c>
      <c r="R60" s="61"/>
      <c r="S60" s="61"/>
      <c r="T60" s="61"/>
      <c r="U60" s="61"/>
    </row>
    <row r="61" spans="1:21" s="62" customFormat="1" x14ac:dyDescent="0.45">
      <c r="B61" s="57" t="s">
        <v>969</v>
      </c>
      <c r="C61" s="57">
        <v>0</v>
      </c>
      <c r="D61" s="57">
        <v>0</v>
      </c>
      <c r="E61" s="132">
        <v>-8.0000000000000002E-3</v>
      </c>
      <c r="F61" s="132">
        <v>8.0000000000000002E-3</v>
      </c>
      <c r="G61" s="57">
        <v>8.0000000000000002E-3</v>
      </c>
      <c r="H61" s="132">
        <v>4.0000000000000001E-3</v>
      </c>
      <c r="I61" s="132">
        <v>0</v>
      </c>
      <c r="J61" s="57">
        <v>0</v>
      </c>
      <c r="R61" s="61"/>
      <c r="S61" s="61"/>
      <c r="T61" s="61"/>
      <c r="U61" s="61"/>
    </row>
    <row r="62" spans="1:21" s="62" customFormat="1" x14ac:dyDescent="0.45">
      <c r="B62" s="57" t="s">
        <v>887</v>
      </c>
      <c r="C62" s="57">
        <v>256</v>
      </c>
      <c r="D62" s="57">
        <v>256</v>
      </c>
      <c r="E62" s="57">
        <v>256</v>
      </c>
      <c r="F62" s="57">
        <v>256</v>
      </c>
      <c r="G62" s="57">
        <v>256</v>
      </c>
      <c r="H62" s="57">
        <v>256</v>
      </c>
      <c r="I62" s="57">
        <v>256</v>
      </c>
      <c r="J62" s="57">
        <v>256</v>
      </c>
      <c r="R62" s="61"/>
      <c r="S62" s="61"/>
      <c r="T62" s="61"/>
      <c r="U62" s="61"/>
    </row>
    <row r="63" spans="1:21" s="62" customFormat="1" x14ac:dyDescent="0.45">
      <c r="R63" s="61"/>
      <c r="S63" s="61"/>
      <c r="T63" s="61"/>
      <c r="U63" s="61"/>
    </row>
    <row r="64" spans="1:21" s="62" customFormat="1" x14ac:dyDescent="0.45">
      <c r="B64" s="134" t="s">
        <v>963</v>
      </c>
      <c r="C64" s="135"/>
      <c r="D64" s="135"/>
      <c r="E64" s="135"/>
      <c r="F64" s="135"/>
      <c r="G64" s="135"/>
      <c r="H64" s="135"/>
      <c r="I64" s="135"/>
      <c r="J64" s="136"/>
      <c r="R64" s="61"/>
      <c r="S64" s="61"/>
      <c r="T64" s="61"/>
      <c r="U64" s="61"/>
    </row>
    <row r="65" spans="2:21" s="62" customFormat="1" x14ac:dyDescent="0.45">
      <c r="B65" s="77" t="s">
        <v>332</v>
      </c>
      <c r="C65" s="77" t="s">
        <v>333</v>
      </c>
      <c r="D65" s="77" t="s">
        <v>333</v>
      </c>
      <c r="E65" s="77" t="s">
        <v>333</v>
      </c>
      <c r="F65" s="77" t="s">
        <v>333</v>
      </c>
      <c r="G65" s="77" t="s">
        <v>333</v>
      </c>
      <c r="H65" s="77" t="s">
        <v>333</v>
      </c>
      <c r="I65" s="77" t="s">
        <v>333</v>
      </c>
      <c r="J65" s="77" t="s">
        <v>333</v>
      </c>
      <c r="R65" s="61"/>
      <c r="S65" s="61"/>
      <c r="T65" s="61"/>
      <c r="U65" s="61"/>
    </row>
    <row r="66" spans="2:21" s="62" customFormat="1" x14ac:dyDescent="0.45">
      <c r="B66" s="57" t="s">
        <v>932</v>
      </c>
      <c r="C66" s="57" t="s">
        <v>935</v>
      </c>
      <c r="D66" s="57" t="s">
        <v>936</v>
      </c>
      <c r="E66" s="57" t="s">
        <v>937</v>
      </c>
      <c r="F66" s="57" t="s">
        <v>938</v>
      </c>
      <c r="G66" s="57" t="s">
        <v>939</v>
      </c>
      <c r="H66" s="57" t="s">
        <v>940</v>
      </c>
      <c r="I66" s="57" t="s">
        <v>941</v>
      </c>
      <c r="J66" s="57" t="s">
        <v>942</v>
      </c>
      <c r="R66" s="61"/>
      <c r="S66" s="61"/>
      <c r="T66" s="61"/>
      <c r="U66" s="61"/>
    </row>
    <row r="67" spans="2:21" s="62" customFormat="1" x14ac:dyDescent="0.45">
      <c r="B67" s="57" t="s">
        <v>881</v>
      </c>
      <c r="C67" s="57">
        <v>0.2</v>
      </c>
      <c r="D67" s="57">
        <v>0.2</v>
      </c>
      <c r="E67" s="57">
        <v>0.2</v>
      </c>
      <c r="F67" s="57">
        <v>0.2</v>
      </c>
      <c r="G67" s="57">
        <v>0.2</v>
      </c>
      <c r="H67" s="57">
        <v>0.2</v>
      </c>
      <c r="I67" s="57">
        <v>0.2</v>
      </c>
      <c r="J67" s="57">
        <v>0.2</v>
      </c>
      <c r="R67" s="61"/>
      <c r="S67" s="61"/>
      <c r="T67" s="61"/>
      <c r="U67" s="61"/>
    </row>
    <row r="68" spans="2:21" s="62" customFormat="1" x14ac:dyDescent="0.45">
      <c r="B68" s="57" t="s">
        <v>884</v>
      </c>
      <c r="C68" s="57">
        <v>0.5</v>
      </c>
      <c r="D68" s="57">
        <v>0.5</v>
      </c>
      <c r="E68" s="57">
        <v>0.5</v>
      </c>
      <c r="F68" s="57">
        <v>0.5</v>
      </c>
      <c r="G68" s="57">
        <v>0.5</v>
      </c>
      <c r="H68" s="57">
        <v>0.5</v>
      </c>
      <c r="I68" s="57">
        <v>0.5</v>
      </c>
      <c r="J68" s="57">
        <v>0.5</v>
      </c>
      <c r="R68" s="61"/>
      <c r="S68" s="61"/>
      <c r="T68" s="61"/>
      <c r="U68" s="61"/>
    </row>
    <row r="69" spans="2:21" s="62" customFormat="1" x14ac:dyDescent="0.45">
      <c r="B69" s="57" t="s">
        <v>220</v>
      </c>
      <c r="C69" s="57">
        <v>100</v>
      </c>
      <c r="D69" s="57">
        <v>100</v>
      </c>
      <c r="E69" s="57">
        <v>100</v>
      </c>
      <c r="F69" s="57">
        <v>100</v>
      </c>
      <c r="G69" s="57">
        <v>100</v>
      </c>
      <c r="H69" s="132">
        <v>200</v>
      </c>
      <c r="I69" s="57">
        <v>200</v>
      </c>
      <c r="J69" s="57">
        <v>200</v>
      </c>
      <c r="K69" s="61"/>
      <c r="R69" s="61"/>
      <c r="S69" s="61"/>
      <c r="T69" s="61"/>
      <c r="U69" s="61"/>
    </row>
    <row r="70" spans="2:21" s="62" customFormat="1" x14ac:dyDescent="0.45">
      <c r="B70" s="57" t="s">
        <v>14</v>
      </c>
      <c r="C70" s="57">
        <v>50</v>
      </c>
      <c r="D70" s="57">
        <v>50</v>
      </c>
      <c r="E70" s="57">
        <v>50</v>
      </c>
      <c r="F70" s="132">
        <v>25</v>
      </c>
      <c r="G70" s="57">
        <v>25</v>
      </c>
      <c r="H70" s="57">
        <v>25</v>
      </c>
      <c r="I70" s="57">
        <v>25</v>
      </c>
      <c r="J70" s="57">
        <v>25</v>
      </c>
      <c r="K70" s="61"/>
      <c r="R70" s="61"/>
      <c r="S70" s="61"/>
      <c r="T70" s="61"/>
      <c r="U70" s="61"/>
    </row>
    <row r="71" spans="2:21" s="62" customFormat="1" x14ac:dyDescent="0.45">
      <c r="B71" s="57" t="s">
        <v>946</v>
      </c>
      <c r="C71" s="57">
        <v>16</v>
      </c>
      <c r="D71" s="132">
        <v>2</v>
      </c>
      <c r="E71" s="57">
        <v>2</v>
      </c>
      <c r="F71" s="57">
        <v>2</v>
      </c>
      <c r="G71" s="57">
        <v>2</v>
      </c>
      <c r="H71" s="132">
        <v>4</v>
      </c>
      <c r="I71" s="132">
        <v>16</v>
      </c>
      <c r="J71" s="57">
        <v>16</v>
      </c>
      <c r="K71" s="61"/>
      <c r="R71" s="61"/>
      <c r="S71" s="61"/>
      <c r="T71" s="61"/>
      <c r="U71" s="61"/>
    </row>
    <row r="72" spans="2:21" s="62" customFormat="1" x14ac:dyDescent="0.45">
      <c r="B72" s="57" t="s">
        <v>947</v>
      </c>
      <c r="C72" s="57">
        <v>4</v>
      </c>
      <c r="D72" s="132">
        <v>1</v>
      </c>
      <c r="E72" s="57">
        <v>1</v>
      </c>
      <c r="F72" s="57">
        <v>1</v>
      </c>
      <c r="G72" s="57">
        <v>1</v>
      </c>
      <c r="H72" s="57">
        <v>1</v>
      </c>
      <c r="I72" s="57">
        <v>1</v>
      </c>
      <c r="J72" s="57">
        <v>1</v>
      </c>
      <c r="K72" s="61"/>
      <c r="R72" s="61"/>
      <c r="S72" s="61"/>
      <c r="T72" s="61"/>
      <c r="U72" s="61"/>
    </row>
    <row r="73" spans="2:21" s="62" customFormat="1" x14ac:dyDescent="0.45">
      <c r="B73" s="57" t="s">
        <v>948</v>
      </c>
      <c r="C73" s="57">
        <v>10</v>
      </c>
      <c r="D73" s="132">
        <v>25</v>
      </c>
      <c r="E73" s="57">
        <v>25</v>
      </c>
      <c r="F73" s="57">
        <v>25</v>
      </c>
      <c r="G73" s="132">
        <v>-25</v>
      </c>
      <c r="H73" s="57">
        <v>-25</v>
      </c>
      <c r="I73" s="132">
        <v>10</v>
      </c>
      <c r="J73" s="57">
        <v>10</v>
      </c>
      <c r="K73" s="61"/>
      <c r="L73" s="61"/>
      <c r="M73" s="61"/>
      <c r="N73" s="61"/>
      <c r="O73" s="61"/>
      <c r="P73" s="61"/>
      <c r="Q73" s="61"/>
      <c r="R73" s="61"/>
      <c r="S73" s="61"/>
      <c r="T73" s="61"/>
      <c r="U73" s="61"/>
    </row>
    <row r="74" spans="2:21" s="62" customFormat="1" x14ac:dyDescent="0.45">
      <c r="B74" s="57" t="s">
        <v>898</v>
      </c>
      <c r="C74" s="132">
        <v>0</v>
      </c>
      <c r="D74" s="132">
        <v>1</v>
      </c>
      <c r="E74" s="57">
        <v>1</v>
      </c>
      <c r="F74" s="57">
        <v>1</v>
      </c>
      <c r="G74" s="57">
        <v>1</v>
      </c>
      <c r="H74" s="57">
        <v>1</v>
      </c>
      <c r="I74" s="57">
        <v>1</v>
      </c>
      <c r="J74" s="57">
        <v>1</v>
      </c>
      <c r="K74" s="61"/>
      <c r="L74" s="61"/>
      <c r="M74" s="61"/>
      <c r="N74" s="61"/>
      <c r="O74" s="61"/>
      <c r="P74" s="61"/>
      <c r="Q74" s="61"/>
      <c r="R74" s="61"/>
      <c r="S74" s="61"/>
      <c r="T74" s="61"/>
      <c r="U74" s="61"/>
    </row>
    <row r="75" spans="2:21" s="62" customFormat="1" x14ac:dyDescent="0.45">
      <c r="B75" s="57" t="s">
        <v>969</v>
      </c>
      <c r="C75" s="132">
        <v>8.0000000000000002E-3</v>
      </c>
      <c r="D75" s="132">
        <v>0</v>
      </c>
      <c r="E75" s="132">
        <v>0.08</v>
      </c>
      <c r="F75" s="57">
        <v>0.08</v>
      </c>
      <c r="G75" s="132">
        <v>-0.08</v>
      </c>
      <c r="H75" s="132">
        <v>0</v>
      </c>
      <c r="I75" s="132">
        <v>-5.0000000000000001E-3</v>
      </c>
      <c r="J75" s="57">
        <v>-5.0000000000000001E-3</v>
      </c>
      <c r="K75" s="61"/>
      <c r="L75" s="61"/>
      <c r="M75" s="61"/>
      <c r="N75" s="61"/>
      <c r="O75" s="61"/>
      <c r="P75" s="61"/>
      <c r="Q75" s="61"/>
      <c r="R75" s="61"/>
      <c r="S75" s="61"/>
      <c r="T75" s="61"/>
      <c r="U75" s="61"/>
    </row>
    <row r="76" spans="2:21" s="62" customFormat="1" x14ac:dyDescent="0.45">
      <c r="B76" s="57" t="s">
        <v>887</v>
      </c>
      <c r="C76" s="57">
        <v>256</v>
      </c>
      <c r="D76" s="57">
        <v>256</v>
      </c>
      <c r="E76" s="57">
        <v>256</v>
      </c>
      <c r="F76" s="57">
        <v>256</v>
      </c>
      <c r="G76" s="57">
        <v>256</v>
      </c>
      <c r="H76" s="57">
        <v>256</v>
      </c>
      <c r="I76" s="57">
        <v>256</v>
      </c>
      <c r="J76" s="132">
        <v>4</v>
      </c>
      <c r="K76" s="61"/>
      <c r="L76" s="61"/>
      <c r="M76" s="61"/>
      <c r="N76" s="61"/>
      <c r="O76" s="61"/>
      <c r="P76" s="61"/>
      <c r="Q76" s="61"/>
      <c r="R76" s="61"/>
      <c r="S76" s="61"/>
      <c r="T76" s="61"/>
      <c r="U76" s="61"/>
    </row>
    <row r="77" spans="2:21" s="62" customFormat="1" x14ac:dyDescent="0.45">
      <c r="J77" s="61"/>
      <c r="K77" s="61"/>
      <c r="L77" s="61"/>
      <c r="M77" s="61"/>
      <c r="N77" s="61"/>
      <c r="O77" s="61"/>
      <c r="P77" s="61"/>
      <c r="Q77" s="61"/>
      <c r="R77" s="61"/>
      <c r="S77" s="61"/>
      <c r="T77" s="61"/>
      <c r="U77" s="61"/>
    </row>
    <row r="78" spans="2:21" s="62" customFormat="1" x14ac:dyDescent="0.45">
      <c r="J78" s="61"/>
      <c r="K78" s="61"/>
      <c r="L78" s="61"/>
      <c r="M78" s="61"/>
      <c r="N78" s="61"/>
      <c r="O78" s="61"/>
      <c r="P78" s="61"/>
      <c r="Q78" s="61"/>
      <c r="R78" s="61"/>
      <c r="S78" s="61"/>
      <c r="T78" s="61"/>
      <c r="U78" s="61"/>
    </row>
    <row r="79" spans="2:21" s="62" customFormat="1" x14ac:dyDescent="0.45">
      <c r="J79" s="61"/>
      <c r="K79" s="61"/>
      <c r="L79" s="61"/>
      <c r="M79" s="61"/>
      <c r="N79" s="61"/>
      <c r="O79" s="61"/>
      <c r="P79" s="61"/>
      <c r="Q79" s="61"/>
      <c r="R79" s="61"/>
      <c r="S79" s="61"/>
      <c r="T79" s="61"/>
      <c r="U79" s="61"/>
    </row>
    <row r="80" spans="2:21" s="62" customFormat="1" x14ac:dyDescent="0.45">
      <c r="J80" s="61"/>
      <c r="K80" s="61"/>
      <c r="L80" s="61"/>
      <c r="M80" s="61"/>
      <c r="N80" s="61"/>
      <c r="O80" s="61"/>
      <c r="P80" s="61"/>
      <c r="Q80" s="61"/>
      <c r="R80" s="61"/>
      <c r="S80" s="61"/>
      <c r="T80" s="61"/>
      <c r="U80" s="61"/>
    </row>
    <row r="81" spans="1:21" s="62" customFormat="1" x14ac:dyDescent="0.45">
      <c r="J81" s="61"/>
      <c r="K81" s="61"/>
      <c r="L81" s="61"/>
      <c r="M81" s="61"/>
      <c r="N81" s="61"/>
      <c r="O81" s="61"/>
      <c r="P81" s="61"/>
      <c r="Q81" s="61"/>
      <c r="R81" s="61"/>
      <c r="S81" s="61"/>
      <c r="T81" s="61"/>
      <c r="U81" s="61"/>
    </row>
    <row r="82" spans="1:21" s="62" customFormat="1" x14ac:dyDescent="0.45">
      <c r="J82" s="61"/>
      <c r="K82" s="61"/>
      <c r="L82" s="61"/>
      <c r="M82" s="61"/>
      <c r="N82" s="61"/>
      <c r="O82" s="61"/>
      <c r="P82" s="61"/>
      <c r="Q82" s="61"/>
      <c r="R82" s="61"/>
      <c r="S82" s="61"/>
      <c r="T82" s="61"/>
      <c r="U82" s="61"/>
    </row>
    <row r="83" spans="1:21" s="62" customFormat="1" x14ac:dyDescent="0.45">
      <c r="A83" s="61"/>
      <c r="B83" s="61"/>
      <c r="C83" s="61"/>
      <c r="D83" s="61"/>
      <c r="E83" s="61"/>
      <c r="F83" s="61"/>
      <c r="G83" s="61"/>
      <c r="H83" s="61"/>
      <c r="I83" s="61"/>
      <c r="J83" s="61"/>
      <c r="K83" s="61"/>
      <c r="L83" s="61"/>
      <c r="M83" s="61"/>
      <c r="N83" s="61"/>
      <c r="O83" s="61"/>
      <c r="P83" s="61"/>
      <c r="Q83" s="61"/>
      <c r="R83" s="61"/>
      <c r="S83" s="61"/>
      <c r="T83" s="61"/>
      <c r="U83" s="61"/>
    </row>
    <row r="84" spans="1:21" s="62" customFormat="1" x14ac:dyDescent="0.45">
      <c r="A84" s="61"/>
      <c r="B84" s="61"/>
      <c r="C84" s="61"/>
      <c r="D84" s="61"/>
      <c r="E84" s="61"/>
      <c r="F84" s="61"/>
      <c r="G84" s="61"/>
      <c r="H84" s="61"/>
      <c r="I84" s="61"/>
      <c r="J84" s="61"/>
      <c r="K84" s="61"/>
      <c r="L84" s="61"/>
      <c r="M84" s="61"/>
      <c r="N84" s="61"/>
      <c r="O84" s="61"/>
      <c r="P84" s="61"/>
      <c r="Q84" s="61"/>
      <c r="R84" s="61"/>
      <c r="S84" s="61"/>
      <c r="T84" s="61"/>
      <c r="U84" s="61"/>
    </row>
    <row r="85" spans="1:21" s="62" customFormat="1" x14ac:dyDescent="0.45">
      <c r="A85" s="61"/>
      <c r="B85" s="61"/>
      <c r="C85" s="61"/>
      <c r="D85" s="61"/>
      <c r="E85" s="61"/>
      <c r="F85" s="61"/>
      <c r="G85" s="61"/>
      <c r="H85" s="61"/>
      <c r="I85" s="61"/>
      <c r="J85" s="61"/>
      <c r="K85" s="61"/>
      <c r="L85" s="61"/>
      <c r="M85" s="61"/>
      <c r="N85" s="61"/>
      <c r="O85" s="61"/>
      <c r="P85" s="61"/>
      <c r="Q85" s="61"/>
      <c r="R85" s="61"/>
      <c r="S85" s="61"/>
      <c r="T85" s="61"/>
      <c r="U85" s="61"/>
    </row>
    <row r="86" spans="1:21" s="62" customFormat="1" x14ac:dyDescent="0.45">
      <c r="A86" s="61"/>
      <c r="B86" s="61"/>
      <c r="C86" s="61"/>
      <c r="D86" s="61"/>
      <c r="E86" s="61"/>
      <c r="F86" s="61"/>
      <c r="G86" s="61"/>
      <c r="H86" s="61"/>
      <c r="I86" s="61"/>
      <c r="J86" s="61"/>
      <c r="K86" s="61"/>
      <c r="L86" s="61"/>
      <c r="M86" s="61"/>
      <c r="N86" s="61"/>
      <c r="O86" s="61"/>
      <c r="P86" s="61"/>
      <c r="Q86" s="61"/>
      <c r="R86" s="61"/>
      <c r="S86" s="61"/>
      <c r="T86" s="61"/>
      <c r="U86" s="61"/>
    </row>
    <row r="87" spans="1:21" s="62" customFormat="1" x14ac:dyDescent="0.45">
      <c r="A87" s="61"/>
      <c r="B87" s="61"/>
      <c r="C87" s="61"/>
      <c r="D87" s="61"/>
      <c r="E87" s="61"/>
      <c r="F87" s="61"/>
      <c r="G87" s="61"/>
      <c r="H87" s="61"/>
      <c r="I87" s="61"/>
      <c r="J87" s="61"/>
      <c r="K87" s="61"/>
      <c r="L87" s="61"/>
      <c r="M87" s="61"/>
      <c r="N87" s="61"/>
      <c r="O87" s="61"/>
      <c r="P87" s="61"/>
      <c r="Q87" s="61"/>
      <c r="R87" s="61"/>
      <c r="S87" s="61"/>
      <c r="T87" s="61"/>
      <c r="U87" s="61"/>
    </row>
    <row r="88" spans="1:21" s="62" customFormat="1" x14ac:dyDescent="0.45">
      <c r="A88" s="61"/>
      <c r="B88" s="61"/>
      <c r="C88" s="61"/>
      <c r="D88" s="61"/>
      <c r="E88" s="61"/>
      <c r="F88" s="61"/>
      <c r="G88" s="61"/>
      <c r="H88" s="61"/>
      <c r="I88" s="61"/>
      <c r="J88" s="61"/>
      <c r="K88" s="61"/>
      <c r="L88" s="61"/>
      <c r="M88" s="61"/>
      <c r="N88" s="61"/>
      <c r="O88" s="61"/>
      <c r="P88" s="61"/>
      <c r="Q88" s="61"/>
      <c r="R88" s="61"/>
      <c r="S88" s="61"/>
      <c r="T88" s="61"/>
      <c r="U88" s="61"/>
    </row>
    <row r="89" spans="1:21" s="62" customFormat="1" x14ac:dyDescent="0.45">
      <c r="A89" s="61"/>
      <c r="B89" s="61"/>
      <c r="C89" s="61"/>
      <c r="D89" s="61"/>
      <c r="E89" s="61"/>
      <c r="F89" s="61"/>
      <c r="G89" s="61"/>
      <c r="H89" s="61"/>
      <c r="I89" s="61"/>
      <c r="J89" s="61"/>
      <c r="K89" s="61"/>
      <c r="L89" s="61"/>
      <c r="M89" s="61"/>
      <c r="N89" s="61"/>
      <c r="O89" s="61"/>
      <c r="P89" s="61"/>
      <c r="Q89" s="61"/>
      <c r="R89" s="61"/>
      <c r="S89" s="61"/>
      <c r="T89" s="61"/>
      <c r="U89" s="61"/>
    </row>
    <row r="90" spans="1:21" s="62" customFormat="1" x14ac:dyDescent="0.45">
      <c r="A90" s="61"/>
      <c r="B90" s="61"/>
      <c r="C90" s="61"/>
      <c r="D90" s="61"/>
      <c r="E90" s="61"/>
      <c r="F90" s="61"/>
      <c r="G90" s="61"/>
      <c r="H90" s="61"/>
      <c r="I90" s="61"/>
      <c r="J90" s="61"/>
      <c r="K90" s="61"/>
      <c r="L90" s="61"/>
      <c r="M90" s="61"/>
      <c r="N90" s="61"/>
      <c r="O90" s="61"/>
      <c r="P90" s="61"/>
      <c r="Q90" s="61"/>
      <c r="R90" s="61"/>
      <c r="S90" s="61"/>
      <c r="T90" s="61"/>
      <c r="U90" s="61"/>
    </row>
    <row r="91" spans="1:21" s="62" customFormat="1" x14ac:dyDescent="0.45">
      <c r="A91" s="61"/>
      <c r="B91" s="61"/>
      <c r="C91" s="61"/>
      <c r="D91" s="61"/>
      <c r="E91" s="61"/>
      <c r="F91" s="61"/>
      <c r="G91" s="61"/>
      <c r="H91" s="61"/>
      <c r="I91" s="61"/>
      <c r="J91" s="61"/>
      <c r="K91" s="61"/>
      <c r="L91" s="61"/>
      <c r="M91" s="61"/>
      <c r="N91" s="61"/>
      <c r="O91" s="61"/>
      <c r="P91" s="61"/>
      <c r="Q91" s="61"/>
      <c r="R91" s="61"/>
      <c r="S91" s="61"/>
      <c r="T91" s="61"/>
      <c r="U91" s="61"/>
    </row>
    <row r="92" spans="1:21" s="62" customFormat="1" x14ac:dyDescent="0.45">
      <c r="A92" s="61"/>
      <c r="B92" s="61"/>
      <c r="C92" s="61"/>
      <c r="D92" s="61"/>
      <c r="E92" s="61"/>
      <c r="F92" s="61"/>
      <c r="G92" s="61"/>
      <c r="H92" s="61"/>
      <c r="I92" s="61"/>
      <c r="J92" s="61"/>
      <c r="K92" s="61"/>
      <c r="L92" s="61"/>
      <c r="M92" s="61"/>
      <c r="N92" s="61"/>
      <c r="O92" s="61"/>
      <c r="P92" s="61"/>
      <c r="Q92" s="61"/>
      <c r="R92" s="61"/>
      <c r="S92" s="61"/>
      <c r="T92" s="61"/>
      <c r="U92" s="61"/>
    </row>
    <row r="119" spans="2:2" x14ac:dyDescent="0.45">
      <c r="B119" s="61" t="s">
        <v>134</v>
      </c>
    </row>
  </sheetData>
  <sheetProtection formatCells="0" formatColumns="0" formatRows="0" insertColumns="0" insertRows="0" insertHyperlinks="0" deleteColumns="0" deleteRows="0" sort="0" autoFilter="0" pivotTables="0"/>
  <mergeCells count="15">
    <mergeCell ref="B36:L36"/>
    <mergeCell ref="E37:L37"/>
    <mergeCell ref="B1:F1"/>
    <mergeCell ref="E38:L38"/>
    <mergeCell ref="E43:L43"/>
    <mergeCell ref="B50:J50"/>
    <mergeCell ref="B64:J64"/>
    <mergeCell ref="E39:L39"/>
    <mergeCell ref="E40:L40"/>
    <mergeCell ref="E41:L41"/>
    <mergeCell ref="E42:L42"/>
    <mergeCell ref="E47:L47"/>
    <mergeCell ref="E44:L44"/>
    <mergeCell ref="E45:L45"/>
    <mergeCell ref="E46:L46"/>
  </mergeCells>
  <phoneticPr fontId="9" type="noConversion"/>
  <conditionalFormatting sqref="W93:W1048576 W1:W5">
    <cfRule type="aboveAverage" dxfId="9" priority="257"/>
  </conditionalFormatting>
  <conditionalFormatting sqref="W71:W81">
    <cfRule type="aboveAverage" dxfId="8"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D3F35-E584-41F4-BE9F-B65370B712BC}">
  <sheetPr codeName="Sheet9"/>
  <dimension ref="A3:AT87"/>
  <sheetViews>
    <sheetView zoomScale="85" zoomScaleNormal="85" workbookViewId="0">
      <selection activeCell="T7" sqref="T7"/>
    </sheetView>
  </sheetViews>
  <sheetFormatPr defaultRowHeight="14.25" x14ac:dyDescent="0.45"/>
  <sheetData>
    <row r="3" spans="1:46" x14ac:dyDescent="0.45">
      <c r="A3" s="47" t="s">
        <v>169</v>
      </c>
      <c r="B3" s="2" t="s">
        <v>873</v>
      </c>
      <c r="C3" s="47" t="s">
        <v>168</v>
      </c>
      <c r="D3" s="2" t="s">
        <v>874</v>
      </c>
      <c r="U3" s="70"/>
      <c r="AO3" t="s">
        <v>170</v>
      </c>
      <c r="AP3" t="s">
        <v>928</v>
      </c>
      <c r="AQ3" t="s">
        <v>169</v>
      </c>
      <c r="AR3" t="s">
        <v>873</v>
      </c>
      <c r="AS3" t="s">
        <v>168</v>
      </c>
      <c r="AT3" t="s">
        <v>874</v>
      </c>
    </row>
    <row r="4" spans="1:46" x14ac:dyDescent="0.45">
      <c r="A4" s="35" t="s">
        <v>0</v>
      </c>
      <c r="B4" s="47"/>
      <c r="C4" s="18"/>
      <c r="D4" s="18"/>
      <c r="E4" s="18"/>
      <c r="F4" s="18"/>
      <c r="G4" s="18"/>
      <c r="H4" s="18"/>
      <c r="I4" s="18"/>
      <c r="J4" s="18"/>
      <c r="K4" s="18"/>
      <c r="L4" s="18"/>
      <c r="M4" s="18"/>
      <c r="N4" s="18"/>
      <c r="O4" s="18"/>
      <c r="P4" s="18"/>
      <c r="Q4" s="47" t="s">
        <v>329</v>
      </c>
      <c r="U4" s="70"/>
    </row>
    <row r="5" spans="1:46" x14ac:dyDescent="0.45">
      <c r="A5" s="2">
        <v>1</v>
      </c>
      <c r="B5" s="120" t="s">
        <v>1</v>
      </c>
      <c r="C5" s="121" t="s">
        <v>18</v>
      </c>
      <c r="D5" s="121">
        <v>20</v>
      </c>
      <c r="E5" s="121">
        <v>10</v>
      </c>
      <c r="F5" s="121">
        <v>0</v>
      </c>
      <c r="G5" s="121">
        <v>30</v>
      </c>
      <c r="H5" s="121">
        <v>10</v>
      </c>
      <c r="I5" s="121">
        <v>0</v>
      </c>
      <c r="J5" s="121" t="s">
        <v>19</v>
      </c>
      <c r="K5" s="121">
        <f>FW</f>
        <v>0.5</v>
      </c>
      <c r="L5" s="121">
        <f>LH</f>
        <v>0.2</v>
      </c>
      <c r="M5" s="121"/>
      <c r="N5" s="121"/>
      <c r="O5" s="121"/>
      <c r="P5" s="121"/>
      <c r="Q5" s="121" t="s">
        <v>875</v>
      </c>
      <c r="S5" s="76" t="s">
        <v>40</v>
      </c>
      <c r="T5" s="3"/>
      <c r="U5" s="5"/>
    </row>
    <row r="6" spans="1:46" x14ac:dyDescent="0.45">
      <c r="A6" s="2">
        <v>2</v>
      </c>
      <c r="B6" s="120" t="s">
        <v>1</v>
      </c>
      <c r="C6" s="121" t="s">
        <v>18</v>
      </c>
      <c r="D6" s="121" t="s">
        <v>124</v>
      </c>
      <c r="E6" s="121" t="s">
        <v>124</v>
      </c>
      <c r="F6" s="121" t="s">
        <v>124</v>
      </c>
      <c r="G6" s="121">
        <v>170</v>
      </c>
      <c r="H6" s="121" t="s">
        <v>124</v>
      </c>
      <c r="I6" s="122" t="s">
        <v>124</v>
      </c>
      <c r="J6" s="122" t="s">
        <v>19</v>
      </c>
      <c r="K6" s="121">
        <f>FW</f>
        <v>0.5</v>
      </c>
      <c r="L6" s="121">
        <f>LH</f>
        <v>0.2</v>
      </c>
      <c r="M6" s="121"/>
      <c r="N6" s="121"/>
      <c r="O6" s="121"/>
      <c r="P6" s="121"/>
      <c r="Q6" s="121" t="s">
        <v>875</v>
      </c>
      <c r="S6" s="5" t="s">
        <v>122</v>
      </c>
      <c r="T6" s="106">
        <f>C32</f>
        <v>0.3</v>
      </c>
      <c r="U6" s="5" t="s">
        <v>44</v>
      </c>
      <c r="AA6" s="107">
        <v>0.15</v>
      </c>
      <c r="AB6" s="107">
        <v>0.15</v>
      </c>
    </row>
    <row r="7" spans="1:46" x14ac:dyDescent="0.45">
      <c r="A7" s="2">
        <v>3</v>
      </c>
      <c r="B7" s="120" t="s">
        <v>1</v>
      </c>
      <c r="C7" s="121" t="s">
        <v>18</v>
      </c>
      <c r="D7" s="121" t="s">
        <v>124</v>
      </c>
      <c r="E7" s="121" t="s">
        <v>124</v>
      </c>
      <c r="F7" s="121" t="s">
        <v>124</v>
      </c>
      <c r="G7" s="121" t="s">
        <v>124</v>
      </c>
      <c r="H7" s="121">
        <v>100</v>
      </c>
      <c r="I7" s="122" t="s">
        <v>124</v>
      </c>
      <c r="J7" s="122" t="s">
        <v>19</v>
      </c>
      <c r="K7" s="121">
        <f>FW</f>
        <v>0.5</v>
      </c>
      <c r="L7" s="121">
        <f>LH</f>
        <v>0.2</v>
      </c>
      <c r="M7" s="121"/>
      <c r="N7" s="121"/>
      <c r="O7" s="121"/>
      <c r="P7" s="121"/>
      <c r="Q7" s="17" t="s">
        <v>875</v>
      </c>
      <c r="S7" s="5" t="s">
        <v>95</v>
      </c>
      <c r="T7" s="5">
        <v>1</v>
      </c>
      <c r="U7" s="5" t="s">
        <v>97</v>
      </c>
    </row>
    <row r="8" spans="1:46" x14ac:dyDescent="0.45">
      <c r="A8" s="2">
        <v>4</v>
      </c>
      <c r="B8" s="120" t="s">
        <v>1</v>
      </c>
      <c r="C8" s="121" t="s">
        <v>18</v>
      </c>
      <c r="D8" s="121" t="s">
        <v>124</v>
      </c>
      <c r="E8" s="121" t="s">
        <v>124</v>
      </c>
      <c r="F8" s="121" t="s">
        <v>124</v>
      </c>
      <c r="G8" s="121" t="e">
        <f>100+Rad</f>
        <v>#NAME?</v>
      </c>
      <c r="H8" s="121" t="s">
        <v>124</v>
      </c>
      <c r="I8" s="121" t="s">
        <v>124</v>
      </c>
      <c r="J8" s="121" t="s">
        <v>19</v>
      </c>
      <c r="K8" s="121">
        <f>FW</f>
        <v>0.5</v>
      </c>
      <c r="L8" s="121">
        <f>LH</f>
        <v>0.2</v>
      </c>
      <c r="M8" s="121"/>
      <c r="N8" s="121"/>
      <c r="O8" s="121"/>
      <c r="P8" s="121"/>
      <c r="Q8" s="17" t="s">
        <v>875</v>
      </c>
      <c r="S8" s="5" t="s">
        <v>96</v>
      </c>
      <c r="T8" s="106">
        <v>0.5</v>
      </c>
      <c r="U8" s="5" t="s">
        <v>97</v>
      </c>
    </row>
    <row r="9" spans="1:46" x14ac:dyDescent="0.45">
      <c r="A9" s="2">
        <v>5</v>
      </c>
      <c r="B9" s="123" t="s">
        <v>213</v>
      </c>
      <c r="C9" s="2">
        <v>100</v>
      </c>
      <c r="D9" s="2">
        <v>100</v>
      </c>
      <c r="E9" s="2" t="s">
        <v>970</v>
      </c>
      <c r="F9" s="2" t="s">
        <v>971</v>
      </c>
      <c r="G9" s="2" t="s">
        <v>972</v>
      </c>
      <c r="H9" s="2">
        <v>0</v>
      </c>
      <c r="I9" s="2" t="e" cm="1">
        <f t="array" ref="I9">Layers</f>
        <v>#NAME?</v>
      </c>
      <c r="J9" s="2">
        <f>TotalSegs</f>
        <v>128000</v>
      </c>
      <c r="K9" s="2" t="s">
        <v>973</v>
      </c>
      <c r="L9" s="2">
        <f>LH</f>
        <v>0.2</v>
      </c>
      <c r="M9" s="2"/>
      <c r="N9" s="2" t="s">
        <v>974</v>
      </c>
      <c r="O9" s="2"/>
      <c r="P9" s="2"/>
      <c r="Q9" s="2"/>
      <c r="S9" s="5" t="s">
        <v>233</v>
      </c>
      <c r="T9" s="5" t="s">
        <v>244</v>
      </c>
      <c r="U9" s="5"/>
      <c r="V9" s="5" t="s">
        <v>244</v>
      </c>
      <c r="W9" s="5" t="s">
        <v>244</v>
      </c>
      <c r="X9" s="5" t="s">
        <v>244</v>
      </c>
      <c r="Y9" s="5" t="s">
        <v>244</v>
      </c>
      <c r="Z9" s="5" t="s">
        <v>244</v>
      </c>
      <c r="AA9" s="5" t="s">
        <v>244</v>
      </c>
      <c r="AB9" s="107" t="s">
        <v>594</v>
      </c>
      <c r="AC9" s="108" t="s">
        <v>635</v>
      </c>
      <c r="AD9" s="5" t="s">
        <v>244</v>
      </c>
      <c r="AE9" s="5" t="s">
        <v>244</v>
      </c>
      <c r="AF9" s="5" t="s">
        <v>244</v>
      </c>
      <c r="AG9" s="5" t="s">
        <v>244</v>
      </c>
      <c r="AH9" s="5" t="s">
        <v>244</v>
      </c>
    </row>
    <row r="10" spans="1:46" x14ac:dyDescent="0.45">
      <c r="A10" s="2">
        <v>6</v>
      </c>
      <c r="B10" s="123" t="s">
        <v>1</v>
      </c>
      <c r="C10" s="2" t="s">
        <v>18</v>
      </c>
      <c r="D10" s="2" t="s">
        <v>124</v>
      </c>
      <c r="E10" s="2" t="s">
        <v>124</v>
      </c>
      <c r="F10" s="2" t="s">
        <v>124</v>
      </c>
      <c r="G10" s="2" t="s">
        <v>124</v>
      </c>
      <c r="H10" s="2" t="s">
        <v>124</v>
      </c>
      <c r="I10" s="2" t="s">
        <v>876</v>
      </c>
      <c r="J10" s="2" t="s">
        <v>23</v>
      </c>
      <c r="K10" s="2"/>
      <c r="L10" s="2"/>
      <c r="M10" s="2"/>
      <c r="N10" s="2"/>
      <c r="O10" s="2"/>
      <c r="P10" s="2"/>
      <c r="Q10" s="2"/>
      <c r="S10" s="5" t="s">
        <v>234</v>
      </c>
      <c r="T10" s="5">
        <v>0</v>
      </c>
      <c r="U10" s="5"/>
    </row>
    <row r="11" spans="1:46" x14ac:dyDescent="0.45">
      <c r="A11" s="2">
        <v>7</v>
      </c>
      <c r="B11" s="123"/>
      <c r="C11" s="2"/>
      <c r="D11" s="2"/>
      <c r="E11" s="2"/>
      <c r="F11" s="2"/>
      <c r="G11" s="2"/>
      <c r="H11" s="2"/>
      <c r="I11" s="2"/>
      <c r="J11" s="2"/>
      <c r="K11" s="2"/>
      <c r="L11" s="2"/>
      <c r="M11" s="2"/>
      <c r="N11" s="2"/>
      <c r="O11" s="2"/>
      <c r="P11" s="2"/>
      <c r="Q11" s="2"/>
      <c r="S11" s="46"/>
      <c r="T11" s="46"/>
      <c r="U11" s="71"/>
    </row>
    <row r="12" spans="1:46" x14ac:dyDescent="0.45">
      <c r="A12" s="2">
        <v>8</v>
      </c>
      <c r="B12" s="123"/>
      <c r="C12" s="2"/>
      <c r="D12" s="2"/>
      <c r="E12" s="2"/>
      <c r="F12" s="2"/>
      <c r="G12" s="2"/>
      <c r="H12" s="2"/>
      <c r="I12" s="2"/>
      <c r="J12" s="2"/>
      <c r="K12" s="2"/>
      <c r="L12" s="2"/>
      <c r="M12" s="2"/>
      <c r="N12" s="2"/>
      <c r="O12" s="2"/>
      <c r="P12" s="2"/>
      <c r="Q12" s="2"/>
      <c r="S12" s="5" t="s">
        <v>378</v>
      </c>
      <c r="T12" s="103">
        <v>60</v>
      </c>
      <c r="U12" s="5" t="s">
        <v>43</v>
      </c>
      <c r="V12" s="102">
        <v>60</v>
      </c>
      <c r="W12" s="103">
        <v>60</v>
      </c>
      <c r="X12" s="117">
        <v>60</v>
      </c>
      <c r="Y12" s="104">
        <v>60</v>
      </c>
      <c r="Z12" s="106">
        <v>60</v>
      </c>
      <c r="AA12" s="107">
        <v>60</v>
      </c>
      <c r="AB12" s="107">
        <v>60</v>
      </c>
      <c r="AC12" s="114">
        <v>60</v>
      </c>
      <c r="AD12" s="115">
        <v>60</v>
      </c>
      <c r="AE12" s="116">
        <v>60</v>
      </c>
      <c r="AF12" s="118">
        <v>60</v>
      </c>
      <c r="AG12" s="112">
        <v>60</v>
      </c>
      <c r="AH12" s="119">
        <v>60</v>
      </c>
    </row>
    <row r="13" spans="1:46" x14ac:dyDescent="0.45">
      <c r="A13" s="2">
        <v>9</v>
      </c>
      <c r="B13" s="123"/>
      <c r="C13" s="2"/>
      <c r="D13" s="2"/>
      <c r="E13" s="2"/>
      <c r="F13" s="2"/>
      <c r="G13" s="2"/>
      <c r="H13" s="2"/>
      <c r="I13" s="2"/>
      <c r="J13" s="2"/>
      <c r="K13" s="2"/>
      <c r="L13" s="2"/>
      <c r="M13" s="2"/>
      <c r="N13" s="2"/>
      <c r="O13" s="2"/>
      <c r="P13" s="2"/>
      <c r="Q13" s="2"/>
      <c r="S13" s="5" t="s">
        <v>93</v>
      </c>
      <c r="T13" s="5">
        <f>C43</f>
        <v>1000</v>
      </c>
      <c r="U13" s="5" t="s">
        <v>45</v>
      </c>
    </row>
    <row r="14" spans="1:46" x14ac:dyDescent="0.45">
      <c r="B14" s="62"/>
      <c r="C14" s="62"/>
      <c r="D14" s="62"/>
      <c r="E14" s="62"/>
      <c r="F14" s="62"/>
      <c r="G14" s="62"/>
      <c r="H14" s="62"/>
      <c r="I14" s="62"/>
      <c r="J14" s="62"/>
      <c r="K14" s="62"/>
      <c r="L14" s="62"/>
      <c r="M14" s="62"/>
      <c r="N14" s="62"/>
      <c r="O14" s="62"/>
      <c r="P14" s="62"/>
      <c r="S14" s="5" t="s">
        <v>94</v>
      </c>
      <c r="T14" s="5">
        <v>7200</v>
      </c>
      <c r="U14" s="5" t="s">
        <v>45</v>
      </c>
    </row>
    <row r="15" spans="1:46" x14ac:dyDescent="0.45">
      <c r="B15" s="62"/>
      <c r="C15" s="62"/>
      <c r="D15" s="62"/>
      <c r="E15" s="62"/>
      <c r="F15" s="62"/>
      <c r="G15" s="62"/>
      <c r="H15" s="62"/>
      <c r="I15" s="62"/>
      <c r="J15" s="62"/>
      <c r="K15" s="62"/>
      <c r="L15" s="62"/>
      <c r="M15" s="62"/>
      <c r="N15" s="62"/>
      <c r="O15" s="62"/>
      <c r="P15" s="62"/>
      <c r="S15" s="5" t="s">
        <v>41</v>
      </c>
      <c r="T15" s="103">
        <v>210</v>
      </c>
      <c r="U15" s="5" t="s">
        <v>43</v>
      </c>
      <c r="V15" s="102">
        <v>210</v>
      </c>
      <c r="W15" s="103">
        <v>210</v>
      </c>
      <c r="X15" s="117">
        <v>210</v>
      </c>
      <c r="Y15" s="104">
        <v>215</v>
      </c>
      <c r="Z15" s="106">
        <v>220</v>
      </c>
      <c r="AA15" s="107">
        <v>210</v>
      </c>
      <c r="AB15" s="107">
        <v>210</v>
      </c>
      <c r="AC15" s="114">
        <v>210</v>
      </c>
      <c r="AD15" s="115">
        <v>210</v>
      </c>
      <c r="AE15" s="116">
        <v>210</v>
      </c>
      <c r="AF15" s="118">
        <v>210</v>
      </c>
      <c r="AG15" s="112">
        <v>210</v>
      </c>
      <c r="AH15" s="119">
        <v>210</v>
      </c>
    </row>
    <row r="16" spans="1:46" x14ac:dyDescent="0.45">
      <c r="B16" s="62"/>
      <c r="C16" s="62"/>
      <c r="D16" s="62"/>
      <c r="E16" s="62"/>
      <c r="F16" s="62"/>
      <c r="G16" s="62"/>
      <c r="H16" s="62"/>
      <c r="I16" s="62"/>
      <c r="J16" s="62"/>
      <c r="K16" s="62"/>
      <c r="L16" s="62"/>
      <c r="M16" s="62"/>
      <c r="N16" s="62"/>
      <c r="O16" s="62"/>
      <c r="P16" s="62"/>
      <c r="S16" s="5" t="s">
        <v>42</v>
      </c>
      <c r="T16" s="103">
        <v>1.75</v>
      </c>
      <c r="U16" s="5" t="s">
        <v>44</v>
      </c>
      <c r="V16" s="102">
        <v>2.85</v>
      </c>
      <c r="W16" s="103">
        <v>1.75</v>
      </c>
      <c r="X16" s="117">
        <v>1.75</v>
      </c>
      <c r="Y16" s="105">
        <v>1.75</v>
      </c>
      <c r="Z16" s="106">
        <v>1.75</v>
      </c>
      <c r="AA16" s="107">
        <v>1.75</v>
      </c>
      <c r="AB16" s="107">
        <v>1.75</v>
      </c>
      <c r="AC16" s="114">
        <v>1.75</v>
      </c>
      <c r="AD16" s="115">
        <v>1.75</v>
      </c>
      <c r="AE16" s="116">
        <v>1.75</v>
      </c>
      <c r="AF16" s="118">
        <v>1.75</v>
      </c>
      <c r="AG16" s="112">
        <v>2.85</v>
      </c>
      <c r="AH16" s="119">
        <v>1.75</v>
      </c>
    </row>
    <row r="17" spans="2:34" x14ac:dyDescent="0.45">
      <c r="B17" s="62"/>
      <c r="C17" s="62"/>
      <c r="D17" s="62"/>
      <c r="E17" s="62"/>
      <c r="F17" s="62"/>
      <c r="G17" s="62"/>
      <c r="H17" s="62"/>
      <c r="I17" s="62"/>
      <c r="J17" s="62"/>
      <c r="K17" s="62"/>
      <c r="L17" s="62"/>
      <c r="M17" s="62"/>
      <c r="N17" s="62"/>
      <c r="O17" s="62"/>
      <c r="P17" s="62"/>
      <c r="S17" s="5" t="s">
        <v>46</v>
      </c>
      <c r="T17" s="103" t="s">
        <v>44</v>
      </c>
      <c r="U17" s="5" t="s">
        <v>98</v>
      </c>
      <c r="V17" s="102" t="s">
        <v>89</v>
      </c>
      <c r="W17" s="103" t="s">
        <v>44</v>
      </c>
      <c r="X17" s="117" t="s">
        <v>44</v>
      </c>
      <c r="Y17" s="105" t="s">
        <v>44</v>
      </c>
      <c r="Z17" s="106" t="s">
        <v>44</v>
      </c>
      <c r="AA17" s="107" t="s">
        <v>44</v>
      </c>
      <c r="AB17" s="107" t="s">
        <v>44</v>
      </c>
      <c r="AC17" s="114" t="s">
        <v>44</v>
      </c>
      <c r="AD17" s="115" t="s">
        <v>44</v>
      </c>
      <c r="AE17" s="116" t="s">
        <v>44</v>
      </c>
      <c r="AF17" s="118" t="s">
        <v>44</v>
      </c>
      <c r="AG17" s="112" t="s">
        <v>89</v>
      </c>
      <c r="AH17" s="119" t="s">
        <v>44</v>
      </c>
    </row>
    <row r="18" spans="2:34" x14ac:dyDescent="0.45">
      <c r="B18" s="62"/>
      <c r="C18" s="62"/>
      <c r="D18" s="62"/>
      <c r="E18" s="62"/>
      <c r="F18" s="62"/>
      <c r="G18" s="62"/>
      <c r="H18" s="62"/>
      <c r="I18" s="62"/>
      <c r="J18" s="62"/>
      <c r="K18" s="62"/>
      <c r="L18" s="62"/>
      <c r="M18" s="62"/>
      <c r="N18" s="62"/>
      <c r="O18" s="62"/>
      <c r="P18" s="62"/>
      <c r="S18" s="5" t="s">
        <v>132</v>
      </c>
      <c r="T18" s="103" t="s">
        <v>459</v>
      </c>
      <c r="U18" s="5"/>
      <c r="V18" s="102" t="s">
        <v>193</v>
      </c>
      <c r="W18" s="103" t="s">
        <v>459</v>
      </c>
      <c r="X18" s="117" t="s">
        <v>434</v>
      </c>
      <c r="Y18" s="24" t="s">
        <v>553</v>
      </c>
      <c r="Z18" s="106" t="s">
        <v>503</v>
      </c>
      <c r="AA18" s="107" t="s">
        <v>593</v>
      </c>
      <c r="AB18" s="107" t="s">
        <v>594</v>
      </c>
      <c r="AC18" s="114" t="s">
        <v>641</v>
      </c>
      <c r="AD18" s="115" t="s">
        <v>673</v>
      </c>
      <c r="AE18" s="116" t="s">
        <v>740</v>
      </c>
      <c r="AF18" s="118" t="s">
        <v>764</v>
      </c>
      <c r="AG18" s="112" t="s">
        <v>797</v>
      </c>
      <c r="AH18" s="119" t="s">
        <v>826</v>
      </c>
    </row>
    <row r="19" spans="2:34" x14ac:dyDescent="0.45">
      <c r="B19" s="62"/>
      <c r="C19" s="62"/>
      <c r="D19" s="62"/>
      <c r="E19" s="62"/>
      <c r="F19" s="62"/>
      <c r="G19" s="62"/>
      <c r="H19" s="62"/>
      <c r="I19" s="62"/>
      <c r="J19" s="62"/>
      <c r="K19" s="62"/>
      <c r="L19" s="62"/>
      <c r="M19" s="62"/>
      <c r="N19" s="62"/>
      <c r="O19" s="62"/>
      <c r="P19" s="62"/>
      <c r="S19" s="5" t="s">
        <v>192</v>
      </c>
      <c r="T19" s="103" t="s">
        <v>459</v>
      </c>
      <c r="U19" s="5"/>
      <c r="V19" s="102" t="s">
        <v>163</v>
      </c>
      <c r="W19" s="103" t="s">
        <v>459</v>
      </c>
      <c r="X19" s="117" t="s">
        <v>434</v>
      </c>
      <c r="Y19" s="24" t="s">
        <v>553</v>
      </c>
      <c r="Z19" s="106" t="s">
        <v>503</v>
      </c>
      <c r="AA19" s="107" t="s">
        <v>593</v>
      </c>
      <c r="AB19" s="107" t="s">
        <v>594</v>
      </c>
      <c r="AC19" s="114" t="s">
        <v>641</v>
      </c>
      <c r="AD19" s="115" t="s">
        <v>673</v>
      </c>
      <c r="AE19" s="116" t="s">
        <v>740</v>
      </c>
      <c r="AF19" s="118" t="s">
        <v>764</v>
      </c>
      <c r="AG19" s="112" t="s">
        <v>797</v>
      </c>
      <c r="AH19" s="119" t="s">
        <v>826</v>
      </c>
    </row>
    <row r="20" spans="2:34" x14ac:dyDescent="0.45">
      <c r="B20" s="62"/>
      <c r="C20" s="62"/>
      <c r="D20" s="62"/>
      <c r="E20" s="62"/>
      <c r="F20" s="62"/>
      <c r="G20" s="62"/>
      <c r="H20" s="62"/>
      <c r="I20" s="62"/>
      <c r="J20" s="62"/>
      <c r="K20" s="62"/>
      <c r="L20" s="62"/>
      <c r="M20" s="62"/>
      <c r="N20" s="62"/>
      <c r="O20" s="62"/>
      <c r="P20" s="62"/>
      <c r="S20" s="5" t="s">
        <v>207</v>
      </c>
      <c r="T20" s="5">
        <v>20</v>
      </c>
      <c r="U20" s="5" t="s">
        <v>44</v>
      </c>
    </row>
    <row r="21" spans="2:34" x14ac:dyDescent="0.45">
      <c r="B21" s="62"/>
      <c r="C21" s="62"/>
      <c r="D21" s="62"/>
      <c r="E21" s="62"/>
      <c r="F21" s="62"/>
      <c r="G21" s="62"/>
      <c r="H21" s="62"/>
      <c r="I21" s="62"/>
      <c r="J21" s="62"/>
      <c r="K21" s="62"/>
      <c r="L21" s="62"/>
      <c r="M21" s="62"/>
      <c r="N21" s="62"/>
      <c r="O21" s="62"/>
      <c r="P21" s="62"/>
      <c r="S21" s="5" t="s">
        <v>208</v>
      </c>
      <c r="T21" s="5">
        <v>10</v>
      </c>
      <c r="U21" s="5" t="s">
        <v>44</v>
      </c>
    </row>
    <row r="22" spans="2:34" x14ac:dyDescent="0.45">
      <c r="B22" s="62"/>
      <c r="C22" s="62"/>
      <c r="D22" s="62"/>
      <c r="E22" s="62"/>
      <c r="F22" s="62"/>
      <c r="G22" s="62"/>
      <c r="H22" s="62"/>
      <c r="I22" s="62"/>
      <c r="J22" s="62"/>
      <c r="K22" s="62"/>
      <c r="L22" s="62"/>
      <c r="M22" s="62"/>
      <c r="N22" s="62"/>
      <c r="O22" s="62"/>
      <c r="P22" s="62"/>
      <c r="S22" s="5" t="s">
        <v>209</v>
      </c>
      <c r="T22" s="5">
        <v>0.3</v>
      </c>
      <c r="U22" s="5" t="s">
        <v>44</v>
      </c>
    </row>
    <row r="23" spans="2:34" x14ac:dyDescent="0.45">
      <c r="B23" s="62"/>
      <c r="C23" s="62"/>
      <c r="D23" s="62"/>
      <c r="E23" s="62"/>
      <c r="F23" s="62"/>
      <c r="G23" s="62"/>
      <c r="H23" s="62"/>
      <c r="I23" s="62"/>
      <c r="J23" s="62"/>
      <c r="K23" s="62"/>
      <c r="L23" s="62"/>
      <c r="M23" s="62"/>
      <c r="N23" s="62"/>
      <c r="O23" s="62"/>
      <c r="P23" s="62"/>
      <c r="S23" s="59" t="s">
        <v>379</v>
      </c>
      <c r="T23" s="5">
        <v>255</v>
      </c>
      <c r="U23" s="5"/>
      <c r="V23" s="1"/>
    </row>
    <row r="24" spans="2:34" x14ac:dyDescent="0.45">
      <c r="B24" s="62"/>
      <c r="C24" s="62"/>
      <c r="D24" s="62"/>
      <c r="E24" s="62"/>
      <c r="F24" s="62"/>
      <c r="G24" s="62"/>
      <c r="H24" s="62"/>
      <c r="I24" s="62"/>
      <c r="J24" s="62"/>
      <c r="K24" s="62"/>
      <c r="L24" s="62"/>
      <c r="M24" s="62"/>
      <c r="N24" s="62"/>
      <c r="O24" s="62"/>
      <c r="P24" s="62"/>
      <c r="S24" s="5" t="s">
        <v>194</v>
      </c>
      <c r="T24" s="5" t="s">
        <v>206</v>
      </c>
      <c r="U24" s="5" t="s">
        <v>198</v>
      </c>
    </row>
    <row r="25" spans="2:34" x14ac:dyDescent="0.45">
      <c r="B25" s="62"/>
      <c r="C25" s="62"/>
      <c r="D25" s="62"/>
      <c r="E25" s="62"/>
      <c r="F25" s="62"/>
      <c r="G25" s="62"/>
      <c r="H25" s="62"/>
      <c r="I25" s="62"/>
      <c r="J25" s="62"/>
      <c r="K25" s="62"/>
      <c r="L25" s="62"/>
      <c r="M25" s="62"/>
      <c r="N25" s="62"/>
      <c r="O25" s="62"/>
      <c r="P25" s="62"/>
      <c r="S25" s="5" t="s">
        <v>199</v>
      </c>
      <c r="T25" s="5">
        <v>5</v>
      </c>
      <c r="U25" s="5" t="s">
        <v>44</v>
      </c>
      <c r="V25" s="1"/>
    </row>
    <row r="26" spans="2:34" x14ac:dyDescent="0.45">
      <c r="B26" s="62"/>
      <c r="C26" s="62"/>
      <c r="D26" s="62"/>
      <c r="E26" s="62"/>
      <c r="F26" s="62"/>
      <c r="G26" s="62"/>
      <c r="H26" s="62"/>
      <c r="I26" s="62"/>
      <c r="J26" s="62"/>
      <c r="K26" s="62"/>
      <c r="L26" s="62"/>
      <c r="M26" s="62"/>
      <c r="N26" s="62"/>
      <c r="O26" s="62"/>
      <c r="P26" s="62"/>
      <c r="S26" s="5" t="s">
        <v>200</v>
      </c>
      <c r="T26" s="5">
        <v>1</v>
      </c>
      <c r="U26" s="5" t="s">
        <v>98</v>
      </c>
    </row>
    <row r="27" spans="2:34" x14ac:dyDescent="0.45">
      <c r="B27" s="62"/>
      <c r="C27" s="62"/>
      <c r="D27" s="62"/>
      <c r="E27" s="62"/>
      <c r="F27" s="62"/>
      <c r="G27" s="62"/>
      <c r="H27" s="62"/>
      <c r="I27" s="62"/>
      <c r="J27" s="62"/>
      <c r="K27" s="62"/>
      <c r="L27" s="62"/>
      <c r="M27" s="62"/>
      <c r="N27" s="62"/>
      <c r="O27" s="62"/>
      <c r="P27" s="62"/>
      <c r="S27" s="5" t="s">
        <v>201</v>
      </c>
      <c r="T27" s="5">
        <v>3000</v>
      </c>
      <c r="U27" s="5" t="s">
        <v>45</v>
      </c>
    </row>
    <row r="28" spans="2:34" x14ac:dyDescent="0.45">
      <c r="B28" s="62"/>
      <c r="C28" s="62"/>
      <c r="D28" s="62"/>
      <c r="E28" s="62"/>
      <c r="F28" s="62"/>
      <c r="G28" s="62"/>
      <c r="H28" s="62"/>
      <c r="I28" s="62"/>
      <c r="J28" s="62"/>
      <c r="K28" s="62"/>
      <c r="L28" s="62"/>
      <c r="M28" s="62"/>
      <c r="N28" s="62"/>
      <c r="O28" s="62"/>
      <c r="P28" s="62"/>
      <c r="S28" s="5" t="s">
        <v>202</v>
      </c>
      <c r="T28" s="5">
        <v>-1</v>
      </c>
      <c r="U28" s="5" t="s">
        <v>98</v>
      </c>
    </row>
    <row r="29" spans="2:34" x14ac:dyDescent="0.45">
      <c r="B29" s="62"/>
      <c r="C29" s="62"/>
      <c r="D29" s="62"/>
      <c r="E29" s="62"/>
      <c r="F29" s="62"/>
      <c r="G29" s="62"/>
      <c r="H29" s="62"/>
      <c r="I29" s="62"/>
      <c r="J29" s="62"/>
      <c r="K29" s="62"/>
      <c r="L29" s="62"/>
      <c r="M29" s="62"/>
      <c r="N29" s="62"/>
      <c r="O29" s="62"/>
      <c r="P29" s="62"/>
      <c r="S29" s="3" t="s">
        <v>203</v>
      </c>
      <c r="T29" s="3">
        <v>3000</v>
      </c>
      <c r="U29" s="5" t="s">
        <v>45</v>
      </c>
    </row>
    <row r="30" spans="2:34" x14ac:dyDescent="0.45">
      <c r="B30" s="62"/>
      <c r="C30" s="62"/>
      <c r="D30" s="62"/>
      <c r="E30" s="62"/>
      <c r="F30" s="62"/>
      <c r="G30" s="62"/>
      <c r="H30" s="62"/>
      <c r="I30" s="62"/>
      <c r="J30" s="62"/>
      <c r="K30" s="62"/>
      <c r="L30" s="62"/>
      <c r="M30" s="62"/>
      <c r="N30" s="62"/>
      <c r="O30" s="62"/>
      <c r="P30" s="62"/>
      <c r="S30" s="3" t="s">
        <v>204</v>
      </c>
      <c r="T30" s="3">
        <v>0.25</v>
      </c>
      <c r="U30" s="5" t="s">
        <v>44</v>
      </c>
    </row>
    <row r="31" spans="2:34" x14ac:dyDescent="0.45">
      <c r="B31" s="141" t="s">
        <v>40</v>
      </c>
      <c r="C31" s="142"/>
      <c r="D31" s="142"/>
      <c r="E31" s="142"/>
      <c r="F31" s="142"/>
      <c r="G31" s="142"/>
      <c r="H31" s="142"/>
      <c r="I31" s="142"/>
      <c r="J31" s="142"/>
      <c r="K31" s="142"/>
      <c r="L31" s="143"/>
      <c r="M31" s="62"/>
      <c r="N31" s="62"/>
      <c r="O31" s="62"/>
      <c r="P31" s="62"/>
      <c r="S31" s="3" t="s">
        <v>205</v>
      </c>
      <c r="T31" s="3">
        <v>7500</v>
      </c>
      <c r="U31" s="5" t="s">
        <v>45</v>
      </c>
    </row>
    <row r="32" spans="2:34" x14ac:dyDescent="0.45">
      <c r="B32" s="124" t="s">
        <v>877</v>
      </c>
      <c r="C32" s="124">
        <v>0.3</v>
      </c>
      <c r="D32" s="124" t="s">
        <v>44</v>
      </c>
      <c r="E32" s="146"/>
      <c r="F32" s="146"/>
      <c r="G32" s="146"/>
      <c r="H32" s="146"/>
      <c r="I32" s="146"/>
      <c r="J32" s="146"/>
      <c r="K32" s="146"/>
      <c r="L32" s="146"/>
      <c r="M32" s="62"/>
      <c r="N32" s="62"/>
      <c r="O32" s="62"/>
      <c r="P32" s="62"/>
      <c r="U32" s="70"/>
    </row>
    <row r="33" spans="1:40" x14ac:dyDescent="0.45">
      <c r="B33" s="124" t="s">
        <v>878</v>
      </c>
      <c r="C33" s="124">
        <v>0.8</v>
      </c>
      <c r="D33" s="124" t="s">
        <v>44</v>
      </c>
      <c r="E33" s="146" t="s">
        <v>879</v>
      </c>
      <c r="F33" s="146"/>
      <c r="G33" s="146"/>
      <c r="H33" s="146"/>
      <c r="I33" s="146"/>
      <c r="J33" s="146"/>
      <c r="K33" s="146"/>
      <c r="L33" s="146"/>
      <c r="M33" s="62"/>
      <c r="N33" s="62"/>
      <c r="O33" s="62"/>
      <c r="P33" s="62"/>
      <c r="S33" s="77" t="s">
        <v>332</v>
      </c>
      <c r="T33" s="77" t="s">
        <v>333</v>
      </c>
      <c r="U33" s="78" t="s">
        <v>371</v>
      </c>
    </row>
    <row r="34" spans="1:40" x14ac:dyDescent="0.45">
      <c r="B34" s="124" t="s">
        <v>880</v>
      </c>
      <c r="C34" s="124">
        <v>40</v>
      </c>
      <c r="D34" s="124" t="s">
        <v>44</v>
      </c>
      <c r="E34" s="146"/>
      <c r="F34" s="146"/>
      <c r="G34" s="146"/>
      <c r="H34" s="146"/>
      <c r="I34" s="146"/>
      <c r="J34" s="146"/>
      <c r="K34" s="146"/>
      <c r="L34" s="146"/>
      <c r="M34" s="62"/>
      <c r="N34" s="62"/>
      <c r="O34" s="62"/>
      <c r="P34" s="62"/>
      <c r="S34" s="57" t="s">
        <v>881</v>
      </c>
      <c r="T34" s="57">
        <f>C32</f>
        <v>0.3</v>
      </c>
      <c r="U34" s="73" t="s">
        <v>44</v>
      </c>
    </row>
    <row r="35" spans="1:40" x14ac:dyDescent="0.45">
      <c r="B35" s="124" t="s">
        <v>882</v>
      </c>
      <c r="C35" s="124">
        <v>16</v>
      </c>
      <c r="D35" s="124" t="s">
        <v>44</v>
      </c>
      <c r="E35" s="146" t="s">
        <v>883</v>
      </c>
      <c r="F35" s="146"/>
      <c r="G35" s="146"/>
      <c r="H35" s="146"/>
      <c r="I35" s="146"/>
      <c r="J35" s="146"/>
      <c r="K35" s="146"/>
      <c r="L35" s="146"/>
      <c r="M35" s="62"/>
      <c r="N35" s="62"/>
      <c r="O35" s="62"/>
      <c r="P35" s="62"/>
      <c r="S35" s="57" t="s">
        <v>884</v>
      </c>
      <c r="T35" s="57">
        <f>C33</f>
        <v>0.8</v>
      </c>
      <c r="U35" s="73" t="s">
        <v>44</v>
      </c>
    </row>
    <row r="36" spans="1:40" x14ac:dyDescent="0.45">
      <c r="B36" s="124" t="s">
        <v>885</v>
      </c>
      <c r="C36" s="124">
        <v>50</v>
      </c>
      <c r="D36" s="124"/>
      <c r="E36" s="146" t="s">
        <v>886</v>
      </c>
      <c r="F36" s="146"/>
      <c r="G36" s="146"/>
      <c r="H36" s="146"/>
      <c r="I36" s="146"/>
      <c r="J36" s="146"/>
      <c r="K36" s="146"/>
      <c r="L36" s="146"/>
      <c r="M36" s="62"/>
      <c r="N36" s="62"/>
      <c r="O36" s="62"/>
      <c r="P36" s="62"/>
      <c r="S36" s="57" t="s">
        <v>887</v>
      </c>
      <c r="T36" s="57" t="e">
        <f>C36*RippleSegs</f>
        <v>#NAME?</v>
      </c>
      <c r="U36" s="73"/>
    </row>
    <row r="37" spans="1:40" x14ac:dyDescent="0.45">
      <c r="A37" s="62"/>
      <c r="B37" s="124" t="s">
        <v>888</v>
      </c>
      <c r="C37" s="124">
        <v>1</v>
      </c>
      <c r="D37" s="124" t="s">
        <v>44</v>
      </c>
      <c r="E37" s="146" t="s">
        <v>889</v>
      </c>
      <c r="F37" s="146"/>
      <c r="G37" s="146"/>
      <c r="H37" s="146"/>
      <c r="I37" s="146"/>
      <c r="J37" s="146"/>
      <c r="K37" s="146"/>
      <c r="L37" s="146"/>
      <c r="M37" s="62"/>
      <c r="N37" s="62"/>
      <c r="O37" s="62"/>
      <c r="P37" s="62"/>
      <c r="R37" s="62"/>
      <c r="S37" s="57" t="s">
        <v>220</v>
      </c>
      <c r="T37" s="57">
        <f>C34</f>
        <v>40</v>
      </c>
      <c r="U37" s="57" t="s">
        <v>44</v>
      </c>
      <c r="V37" s="62"/>
      <c r="W37" s="62"/>
      <c r="X37" s="62"/>
      <c r="Y37" s="62"/>
      <c r="Z37" s="62"/>
      <c r="AA37" s="62"/>
      <c r="AB37" s="62"/>
      <c r="AC37" s="62"/>
      <c r="AD37" s="62"/>
      <c r="AE37" s="62"/>
      <c r="AF37" s="62"/>
      <c r="AG37" s="62"/>
      <c r="AH37" s="62"/>
      <c r="AI37" s="62"/>
      <c r="AJ37" s="62"/>
      <c r="AK37" s="62"/>
      <c r="AL37" s="62"/>
      <c r="AM37" s="62"/>
      <c r="AN37" s="62"/>
    </row>
    <row r="38" spans="1:40" x14ac:dyDescent="0.45">
      <c r="A38" s="62"/>
      <c r="B38" s="124" t="s">
        <v>890</v>
      </c>
      <c r="C38" s="124">
        <v>0.15</v>
      </c>
      <c r="D38" s="124"/>
      <c r="E38" s="146" t="s">
        <v>891</v>
      </c>
      <c r="F38" s="146"/>
      <c r="G38" s="146"/>
      <c r="H38" s="146"/>
      <c r="I38" s="146"/>
      <c r="J38" s="146"/>
      <c r="K38" s="146"/>
      <c r="L38" s="146"/>
      <c r="M38" s="62"/>
      <c r="N38" s="62"/>
      <c r="O38" s="62"/>
      <c r="P38" s="62"/>
      <c r="R38" s="62"/>
      <c r="S38" s="57" t="s">
        <v>892</v>
      </c>
      <c r="T38" s="57">
        <f>C37</f>
        <v>1</v>
      </c>
      <c r="U38" s="57" t="s">
        <v>44</v>
      </c>
      <c r="V38" s="62"/>
      <c r="W38" s="62"/>
      <c r="X38" s="62"/>
      <c r="Y38" s="62"/>
      <c r="Z38" s="62"/>
      <c r="AA38" s="62"/>
      <c r="AB38" s="62"/>
      <c r="AC38" s="62"/>
      <c r="AD38" s="62"/>
      <c r="AE38" s="62"/>
      <c r="AF38" s="62"/>
      <c r="AG38" s="62"/>
      <c r="AH38" s="62"/>
      <c r="AI38" s="62"/>
      <c r="AJ38" s="62"/>
      <c r="AK38" s="62"/>
      <c r="AL38" s="62"/>
      <c r="AM38" s="62"/>
      <c r="AN38" s="62"/>
    </row>
    <row r="39" spans="1:40" x14ac:dyDescent="0.45">
      <c r="A39" s="62"/>
      <c r="B39" s="124" t="s">
        <v>893</v>
      </c>
      <c r="C39" s="124">
        <v>4</v>
      </c>
      <c r="D39" s="124"/>
      <c r="E39" s="146" t="s">
        <v>894</v>
      </c>
      <c r="F39" s="146"/>
      <c r="G39" s="146"/>
      <c r="H39" s="146"/>
      <c r="I39" s="146"/>
      <c r="J39" s="146"/>
      <c r="K39" s="146"/>
      <c r="L39" s="146"/>
      <c r="M39" s="62"/>
      <c r="N39" s="62"/>
      <c r="O39" s="62"/>
      <c r="P39" s="62"/>
      <c r="R39" s="62"/>
      <c r="S39" s="57" t="s">
        <v>895</v>
      </c>
      <c r="T39" s="57">
        <f>C35</f>
        <v>16</v>
      </c>
      <c r="U39" s="57" t="s">
        <v>44</v>
      </c>
      <c r="V39" s="62"/>
      <c r="W39" s="62"/>
      <c r="X39" s="62"/>
      <c r="Y39" s="62"/>
      <c r="Z39" s="62"/>
      <c r="AA39" s="62"/>
      <c r="AB39" s="62"/>
      <c r="AC39" s="62"/>
      <c r="AD39" s="62"/>
      <c r="AE39" s="62"/>
      <c r="AF39" s="62"/>
      <c r="AG39" s="62"/>
      <c r="AH39" s="62"/>
      <c r="AI39" s="62"/>
      <c r="AJ39" s="62"/>
      <c r="AK39" s="62"/>
      <c r="AL39" s="62"/>
      <c r="AM39" s="62"/>
      <c r="AN39" s="62"/>
    </row>
    <row r="40" spans="1:40" x14ac:dyDescent="0.45">
      <c r="A40" s="62"/>
      <c r="B40" s="124" t="s">
        <v>896</v>
      </c>
      <c r="C40" s="124">
        <v>5</v>
      </c>
      <c r="D40" s="126" t="s">
        <v>44</v>
      </c>
      <c r="E40" s="146" t="s">
        <v>897</v>
      </c>
      <c r="F40" s="146"/>
      <c r="G40" s="146"/>
      <c r="H40" s="146"/>
      <c r="I40" s="146"/>
      <c r="J40" s="146"/>
      <c r="K40" s="146"/>
      <c r="L40" s="146"/>
      <c r="M40" s="62"/>
      <c r="N40" s="62"/>
      <c r="O40" s="62"/>
      <c r="P40" s="62"/>
      <c r="R40" s="62"/>
      <c r="S40" s="57" t="s">
        <v>898</v>
      </c>
      <c r="T40" s="57">
        <f>C38</f>
        <v>0.15</v>
      </c>
      <c r="U40" s="57"/>
      <c r="V40" s="62"/>
      <c r="W40" s="62"/>
      <c r="X40" s="62"/>
      <c r="Y40" s="62"/>
      <c r="Z40" s="62"/>
      <c r="AA40" s="62"/>
      <c r="AB40" s="62"/>
      <c r="AC40" s="62"/>
      <c r="AD40" s="62"/>
      <c r="AE40" s="62"/>
      <c r="AF40" s="62"/>
      <c r="AG40" s="62"/>
      <c r="AH40" s="62"/>
      <c r="AI40" s="62"/>
      <c r="AJ40" s="62"/>
      <c r="AK40" s="62"/>
      <c r="AL40" s="62"/>
      <c r="AM40" s="62"/>
      <c r="AN40" s="62"/>
    </row>
    <row r="41" spans="1:40" x14ac:dyDescent="0.45">
      <c r="A41" s="62"/>
      <c r="B41" s="124" t="s">
        <v>899</v>
      </c>
      <c r="C41" s="124">
        <v>1.5</v>
      </c>
      <c r="D41" s="126"/>
      <c r="E41" s="146" t="s">
        <v>900</v>
      </c>
      <c r="F41" s="146"/>
      <c r="G41" s="146"/>
      <c r="H41" s="146"/>
      <c r="I41" s="146"/>
      <c r="J41" s="146"/>
      <c r="K41" s="146"/>
      <c r="L41" s="146"/>
      <c r="M41" s="62"/>
      <c r="N41" s="62"/>
      <c r="O41" s="62"/>
      <c r="P41" s="62"/>
      <c r="R41" s="62"/>
      <c r="S41" s="57" t="s">
        <v>901</v>
      </c>
      <c r="T41" s="57">
        <f>2*PI()</f>
        <v>6.2831853071795862</v>
      </c>
      <c r="U41" s="57"/>
      <c r="V41" s="62"/>
      <c r="W41" s="62"/>
      <c r="X41" s="62"/>
      <c r="Y41" s="62"/>
      <c r="Z41" s="62"/>
      <c r="AA41" s="62"/>
      <c r="AB41" s="62"/>
      <c r="AC41" s="62"/>
      <c r="AD41" s="62"/>
      <c r="AE41" s="62"/>
      <c r="AF41" s="62"/>
      <c r="AG41" s="62"/>
      <c r="AH41" s="62"/>
      <c r="AI41" s="62"/>
      <c r="AJ41" s="62"/>
      <c r="AK41" s="62"/>
      <c r="AL41" s="62"/>
      <c r="AM41" s="62"/>
      <c r="AN41" s="62"/>
    </row>
    <row r="42" spans="1:40" x14ac:dyDescent="0.45">
      <c r="A42" s="62"/>
      <c r="B42" s="124" t="s">
        <v>902</v>
      </c>
      <c r="C42" s="124">
        <v>2</v>
      </c>
      <c r="D42" s="124" t="s">
        <v>44</v>
      </c>
      <c r="E42" s="146" t="s">
        <v>903</v>
      </c>
      <c r="F42" s="146"/>
      <c r="G42" s="146"/>
      <c r="H42" s="146"/>
      <c r="I42" s="146"/>
      <c r="J42" s="146"/>
      <c r="K42" s="146"/>
      <c r="L42" s="146"/>
      <c r="M42" s="62"/>
      <c r="N42" s="62"/>
      <c r="O42" s="62"/>
      <c r="P42" s="62"/>
      <c r="R42" s="62"/>
      <c r="S42" s="57" t="s">
        <v>904</v>
      </c>
      <c r="T42" s="57" t="e">
        <f>(Segments+4)*Layers</f>
        <v>#NAME?</v>
      </c>
      <c r="U42" s="57"/>
      <c r="V42" s="62"/>
      <c r="W42" s="62"/>
      <c r="X42" s="62"/>
      <c r="Y42" s="62"/>
      <c r="Z42" s="62"/>
      <c r="AA42" s="62"/>
      <c r="AB42" s="62"/>
      <c r="AC42" s="62"/>
      <c r="AD42" s="62"/>
      <c r="AE42" s="62"/>
      <c r="AF42" s="62"/>
      <c r="AG42" s="62"/>
      <c r="AH42" s="62"/>
      <c r="AI42" s="62"/>
      <c r="AJ42" s="62"/>
      <c r="AK42" s="62"/>
      <c r="AL42" s="62"/>
      <c r="AM42" s="62"/>
      <c r="AN42" s="62"/>
    </row>
    <row r="43" spans="1:40" x14ac:dyDescent="0.45">
      <c r="A43" s="62"/>
      <c r="B43" s="124" t="s">
        <v>905</v>
      </c>
      <c r="C43" s="124">
        <v>1000</v>
      </c>
      <c r="D43" s="124" t="s">
        <v>45</v>
      </c>
      <c r="E43" s="146" t="s">
        <v>906</v>
      </c>
      <c r="F43" s="146"/>
      <c r="G43" s="146"/>
      <c r="H43" s="146"/>
      <c r="I43" s="146"/>
      <c r="J43" s="146"/>
      <c r="K43" s="146"/>
      <c r="L43" s="146"/>
      <c r="M43" s="62"/>
      <c r="N43" s="62"/>
      <c r="O43" s="62"/>
      <c r="P43" s="62"/>
      <c r="R43" s="62"/>
      <c r="S43" s="57" t="s">
        <v>907</v>
      </c>
      <c r="T43" s="57">
        <v>0.4</v>
      </c>
      <c r="U43" s="57"/>
      <c r="V43" s="62"/>
      <c r="W43" s="62"/>
      <c r="X43" s="62"/>
      <c r="Y43" s="62"/>
      <c r="Z43" s="62"/>
      <c r="AA43" s="62"/>
      <c r="AB43" s="62"/>
      <c r="AC43" s="62"/>
      <c r="AD43" s="62"/>
      <c r="AE43" s="62"/>
      <c r="AF43" s="62"/>
      <c r="AG43" s="62"/>
      <c r="AH43" s="62"/>
      <c r="AI43" s="62"/>
      <c r="AJ43" s="62"/>
      <c r="AK43" s="62"/>
      <c r="AL43" s="62"/>
      <c r="AM43" s="62"/>
      <c r="AN43" s="62"/>
    </row>
    <row r="44" spans="1:40" x14ac:dyDescent="0.45">
      <c r="A44" s="62"/>
      <c r="B44" s="62"/>
      <c r="C44" s="62"/>
      <c r="D44" s="62"/>
      <c r="E44" s="62"/>
      <c r="F44" s="62"/>
      <c r="G44" s="62"/>
      <c r="H44" s="62"/>
      <c r="I44" s="62"/>
      <c r="J44" s="62"/>
      <c r="K44" s="62"/>
      <c r="L44" s="62"/>
      <c r="M44" s="62"/>
      <c r="N44" s="62"/>
      <c r="O44" s="62"/>
      <c r="P44" s="62"/>
      <c r="R44" s="62"/>
      <c r="S44" s="57" t="s">
        <v>908</v>
      </c>
      <c r="T44" s="57">
        <f>C39</f>
        <v>4</v>
      </c>
      <c r="U44" s="57"/>
      <c r="V44" s="62"/>
      <c r="W44" s="62"/>
      <c r="X44" s="62"/>
      <c r="Y44" s="62"/>
      <c r="Z44" s="62"/>
      <c r="AA44" s="62"/>
      <c r="AB44" s="62"/>
      <c r="AC44" s="62"/>
      <c r="AD44" s="62"/>
      <c r="AE44" s="62"/>
      <c r="AF44" s="62"/>
      <c r="AG44" s="62"/>
      <c r="AH44" s="62"/>
      <c r="AI44" s="62"/>
      <c r="AJ44" s="62"/>
      <c r="AK44" s="62"/>
      <c r="AL44" s="62"/>
      <c r="AM44" s="62"/>
      <c r="AN44" s="62"/>
    </row>
    <row r="45" spans="1:40" x14ac:dyDescent="0.45">
      <c r="A45" s="62"/>
      <c r="B45" s="62"/>
      <c r="C45" s="62"/>
      <c r="D45" s="62"/>
      <c r="E45" s="62"/>
      <c r="F45" s="62"/>
      <c r="G45" s="62"/>
      <c r="H45" s="62"/>
      <c r="I45" s="62"/>
      <c r="J45" s="62"/>
      <c r="M45" s="62"/>
      <c r="N45" s="62"/>
      <c r="O45" s="62"/>
      <c r="P45" s="62"/>
      <c r="R45" s="62"/>
      <c r="S45" s="57" t="s">
        <v>909</v>
      </c>
      <c r="T45" s="57">
        <f>C40</f>
        <v>5</v>
      </c>
      <c r="U45" s="57"/>
      <c r="V45" s="62"/>
      <c r="W45" s="62"/>
      <c r="X45" s="62"/>
      <c r="Y45" s="62"/>
      <c r="Z45" s="62"/>
      <c r="AA45" s="62"/>
      <c r="AB45" s="62"/>
      <c r="AC45" s="62"/>
      <c r="AD45" s="62"/>
      <c r="AE45" s="62"/>
      <c r="AF45" s="62"/>
      <c r="AG45" s="62"/>
      <c r="AH45" s="62"/>
      <c r="AI45" s="62"/>
      <c r="AJ45" s="62"/>
      <c r="AK45" s="62"/>
      <c r="AL45" s="62"/>
      <c r="AM45" s="62"/>
      <c r="AN45" s="62"/>
    </row>
    <row r="46" spans="1:40" x14ac:dyDescent="0.45">
      <c r="A46" s="62"/>
      <c r="B46" s="62"/>
      <c r="C46" s="62"/>
      <c r="D46" s="62"/>
      <c r="E46" s="62"/>
      <c r="F46" s="62"/>
      <c r="G46" s="62"/>
      <c r="H46" s="62"/>
      <c r="I46" s="62"/>
      <c r="J46" s="62"/>
      <c r="M46" s="62"/>
      <c r="N46" s="62"/>
      <c r="O46" s="62"/>
      <c r="P46" s="62"/>
      <c r="R46" s="62"/>
      <c r="S46" s="57" t="s">
        <v>338</v>
      </c>
      <c r="T46" s="57">
        <f>Height/LH</f>
        <v>500</v>
      </c>
      <c r="U46" s="57"/>
      <c r="V46" s="62"/>
      <c r="W46" s="62"/>
      <c r="X46" s="62"/>
      <c r="Y46" s="62"/>
      <c r="Z46" s="62"/>
      <c r="AA46" s="62"/>
      <c r="AB46" s="62"/>
      <c r="AC46" s="62"/>
      <c r="AD46" s="62"/>
      <c r="AE46" s="62"/>
      <c r="AF46" s="62"/>
      <c r="AG46" s="62"/>
      <c r="AH46" s="62"/>
      <c r="AI46" s="62"/>
      <c r="AJ46" s="62"/>
      <c r="AK46" s="62"/>
      <c r="AL46" s="62"/>
      <c r="AM46" s="62"/>
      <c r="AN46" s="62"/>
    </row>
    <row r="47" spans="1:40" x14ac:dyDescent="0.45">
      <c r="A47" s="62"/>
      <c r="B47" s="62" t="s">
        <v>910</v>
      </c>
      <c r="C47" s="62"/>
      <c r="D47" s="62"/>
      <c r="E47" s="62"/>
      <c r="F47" s="62"/>
      <c r="G47" t="s">
        <v>911</v>
      </c>
      <c r="H47" s="62"/>
      <c r="I47" t="s">
        <v>912</v>
      </c>
      <c r="J47" t="s">
        <v>913</v>
      </c>
      <c r="K47" t="s">
        <v>43</v>
      </c>
      <c r="L47" s="62" t="s">
        <v>914</v>
      </c>
      <c r="M47" s="62" t="s">
        <v>47</v>
      </c>
      <c r="N47" s="62" t="s">
        <v>123</v>
      </c>
      <c r="O47" s="62"/>
      <c r="P47" s="62"/>
      <c r="R47" s="62"/>
      <c r="S47" s="57" t="s">
        <v>915</v>
      </c>
      <c r="T47" s="57">
        <f>C41</f>
        <v>1.5</v>
      </c>
      <c r="U47" s="57"/>
      <c r="V47" s="62"/>
      <c r="W47" s="62"/>
      <c r="X47" s="62"/>
      <c r="Y47" s="62"/>
      <c r="Z47" s="62"/>
      <c r="AA47" s="62"/>
      <c r="AB47" s="62"/>
      <c r="AC47" s="62"/>
      <c r="AD47" s="62"/>
      <c r="AE47" s="62"/>
      <c r="AF47" s="62"/>
      <c r="AG47" s="62"/>
      <c r="AH47" s="62"/>
      <c r="AI47" s="62"/>
      <c r="AJ47" s="62"/>
      <c r="AK47" s="62"/>
      <c r="AL47" s="62"/>
      <c r="AM47" s="62"/>
      <c r="AN47" s="62"/>
    </row>
    <row r="48" spans="1:40" x14ac:dyDescent="0.45">
      <c r="A48" s="62"/>
      <c r="B48" s="124">
        <v>0.5</v>
      </c>
      <c r="C48" s="62"/>
      <c r="D48" s="62"/>
      <c r="E48" s="62"/>
      <c r="F48" s="62"/>
      <c r="G48" s="147" t="s">
        <v>916</v>
      </c>
      <c r="H48" s="62"/>
      <c r="I48" s="124">
        <v>0.5</v>
      </c>
      <c r="J48" s="124">
        <v>0.5</v>
      </c>
      <c r="K48" s="124">
        <v>0.5</v>
      </c>
      <c r="L48" s="124">
        <v>0.5</v>
      </c>
      <c r="M48" s="124">
        <v>0.5</v>
      </c>
      <c r="N48" s="124">
        <v>0.5</v>
      </c>
      <c r="O48" s="62"/>
      <c r="P48" s="62"/>
      <c r="R48" s="62"/>
      <c r="S48" s="57" t="s">
        <v>917</v>
      </c>
      <c r="T48" s="57">
        <f>C42</f>
        <v>2</v>
      </c>
      <c r="U48" s="57"/>
      <c r="V48" s="62"/>
      <c r="W48" s="62"/>
      <c r="X48" s="62"/>
      <c r="Y48" s="62"/>
      <c r="Z48" s="62"/>
      <c r="AA48" s="62"/>
      <c r="AB48" s="62"/>
      <c r="AC48" s="62"/>
      <c r="AD48" s="62"/>
      <c r="AE48" s="62"/>
      <c r="AF48" s="62"/>
      <c r="AG48" s="62"/>
      <c r="AH48" s="62"/>
      <c r="AI48" s="62"/>
      <c r="AJ48" s="62"/>
      <c r="AK48" s="62"/>
      <c r="AL48" s="62"/>
      <c r="AM48" s="62"/>
      <c r="AN48" s="62"/>
    </row>
    <row r="49" spans="1:40" x14ac:dyDescent="0.45">
      <c r="A49" s="62"/>
      <c r="B49" s="124">
        <v>1.2</v>
      </c>
      <c r="C49" s="62"/>
      <c r="D49" s="62"/>
      <c r="E49" s="62"/>
      <c r="F49" s="62"/>
      <c r="G49" s="147"/>
      <c r="H49" s="62"/>
      <c r="I49" s="124">
        <v>1.2</v>
      </c>
      <c r="J49" s="124">
        <v>1.2</v>
      </c>
      <c r="K49" s="124">
        <v>1.2</v>
      </c>
      <c r="L49" s="124">
        <v>1.2</v>
      </c>
      <c r="M49" s="124">
        <v>1.2</v>
      </c>
      <c r="N49" s="124">
        <v>1.2</v>
      </c>
      <c r="O49" s="62"/>
      <c r="P49" s="62"/>
      <c r="R49" s="62"/>
      <c r="S49" s="57" t="s">
        <v>918</v>
      </c>
      <c r="T49" s="57">
        <v>8</v>
      </c>
      <c r="U49" s="57"/>
      <c r="V49" s="62"/>
      <c r="W49" s="62"/>
      <c r="X49" s="62"/>
      <c r="Y49" s="62"/>
      <c r="Z49" s="62"/>
      <c r="AA49" s="62"/>
      <c r="AB49" s="62"/>
      <c r="AC49" s="62"/>
      <c r="AD49" s="62"/>
      <c r="AE49" s="62"/>
      <c r="AF49" s="62"/>
      <c r="AG49" s="62"/>
      <c r="AH49" s="62"/>
      <c r="AI49" s="62"/>
      <c r="AJ49" s="62"/>
      <c r="AK49" s="62"/>
      <c r="AL49" s="62"/>
      <c r="AM49" s="62"/>
      <c r="AN49" s="62"/>
    </row>
    <row r="50" spans="1:40" x14ac:dyDescent="0.45">
      <c r="A50" s="62"/>
      <c r="B50" s="124">
        <v>40</v>
      </c>
      <c r="C50" s="62"/>
      <c r="D50" s="62"/>
      <c r="E50" s="62"/>
      <c r="F50" s="62"/>
      <c r="G50" s="147"/>
      <c r="H50" s="62"/>
      <c r="I50" s="124">
        <v>40</v>
      </c>
      <c r="J50" s="124">
        <v>40</v>
      </c>
      <c r="K50" s="124">
        <v>40</v>
      </c>
      <c r="L50" s="124">
        <v>40</v>
      </c>
      <c r="M50" s="124">
        <v>40</v>
      </c>
      <c r="N50" s="124">
        <v>40</v>
      </c>
      <c r="O50" s="62"/>
      <c r="P50" s="62"/>
      <c r="R50" s="62"/>
      <c r="S50" s="62"/>
      <c r="T50" s="62"/>
      <c r="U50" s="62"/>
      <c r="V50" s="62"/>
      <c r="W50" s="62"/>
      <c r="X50" s="62"/>
      <c r="Y50" s="62"/>
      <c r="Z50" s="62"/>
      <c r="AA50" s="62"/>
      <c r="AB50" s="62"/>
      <c r="AC50" s="62"/>
      <c r="AD50" s="62"/>
      <c r="AE50" s="62"/>
      <c r="AF50" s="62"/>
      <c r="AG50" s="62"/>
      <c r="AH50" s="62"/>
      <c r="AI50" s="62"/>
      <c r="AJ50" s="62"/>
      <c r="AK50" s="62"/>
      <c r="AL50" s="62"/>
      <c r="AM50" s="62"/>
      <c r="AN50" s="62"/>
    </row>
    <row r="51" spans="1:40" x14ac:dyDescent="0.45">
      <c r="A51" s="62"/>
      <c r="B51" s="124">
        <v>16</v>
      </c>
      <c r="C51" s="62"/>
      <c r="D51" s="62"/>
      <c r="E51" s="62"/>
      <c r="F51" s="62"/>
      <c r="G51" s="147"/>
      <c r="H51" s="62"/>
      <c r="I51" s="124">
        <v>16</v>
      </c>
      <c r="J51" s="124">
        <v>16</v>
      </c>
      <c r="K51" s="124">
        <v>16</v>
      </c>
      <c r="L51" s="124">
        <v>16</v>
      </c>
      <c r="M51" s="124">
        <v>16</v>
      </c>
      <c r="N51" s="124">
        <v>16</v>
      </c>
      <c r="O51" s="62"/>
      <c r="P51" s="62"/>
      <c r="R51" s="62"/>
      <c r="S51" s="62"/>
      <c r="T51" s="62"/>
      <c r="U51" s="62"/>
      <c r="V51" s="62"/>
      <c r="W51" s="62"/>
      <c r="X51" s="62"/>
      <c r="Y51" s="62"/>
      <c r="Z51" s="62"/>
      <c r="AA51" s="62"/>
      <c r="AB51" s="62"/>
      <c r="AC51" s="62"/>
      <c r="AD51" s="62"/>
      <c r="AE51" s="62"/>
      <c r="AF51" s="62"/>
      <c r="AG51" s="62"/>
      <c r="AH51" s="62"/>
      <c r="AI51" s="62"/>
      <c r="AJ51" s="62"/>
      <c r="AK51" s="62"/>
      <c r="AL51" s="62"/>
      <c r="AM51" s="62"/>
      <c r="AN51" s="62"/>
    </row>
    <row r="52" spans="1:40" x14ac:dyDescent="0.45">
      <c r="A52" s="62"/>
      <c r="B52" s="124">
        <v>50</v>
      </c>
      <c r="C52" s="62"/>
      <c r="D52" s="62"/>
      <c r="E52" s="62"/>
      <c r="F52" s="62"/>
      <c r="G52" s="113"/>
      <c r="H52" s="62"/>
      <c r="I52" s="124">
        <v>50</v>
      </c>
      <c r="J52" s="124">
        <v>50</v>
      </c>
      <c r="K52" s="124">
        <v>50</v>
      </c>
      <c r="L52" s="124">
        <v>50</v>
      </c>
      <c r="M52" s="124">
        <v>50</v>
      </c>
      <c r="N52" s="124">
        <v>50</v>
      </c>
      <c r="O52" s="62"/>
      <c r="P52" s="62"/>
      <c r="R52" s="62"/>
      <c r="S52" s="62"/>
      <c r="T52" s="62"/>
      <c r="U52" s="62"/>
      <c r="V52" s="62"/>
      <c r="W52" s="62"/>
      <c r="X52" s="62"/>
      <c r="Y52" s="62"/>
      <c r="Z52" s="62"/>
      <c r="AA52" s="62"/>
      <c r="AB52" s="62"/>
      <c r="AC52" s="62"/>
      <c r="AD52" s="62"/>
      <c r="AE52" s="62"/>
      <c r="AF52" s="62"/>
      <c r="AG52" s="62"/>
      <c r="AH52" s="62"/>
      <c r="AI52" s="62"/>
      <c r="AJ52" s="62"/>
      <c r="AK52" s="62"/>
      <c r="AL52" s="62"/>
      <c r="AM52" s="62"/>
      <c r="AN52" s="62"/>
    </row>
    <row r="53" spans="1:40" x14ac:dyDescent="0.45">
      <c r="A53" s="62"/>
      <c r="B53" s="124">
        <v>1</v>
      </c>
      <c r="C53" s="62"/>
      <c r="D53" s="62"/>
      <c r="E53" s="62"/>
      <c r="F53" s="62"/>
      <c r="G53" s="62"/>
      <c r="H53" s="62"/>
      <c r="I53" s="124">
        <v>1</v>
      </c>
      <c r="J53" s="124">
        <v>1</v>
      </c>
      <c r="K53" s="124">
        <v>1</v>
      </c>
      <c r="L53" s="124">
        <v>1</v>
      </c>
      <c r="M53" s="124">
        <v>1</v>
      </c>
      <c r="N53" s="124">
        <v>1</v>
      </c>
      <c r="O53" s="62"/>
      <c r="P53" s="62"/>
      <c r="R53" s="62"/>
      <c r="S53" s="62"/>
      <c r="T53" s="62"/>
      <c r="U53" s="62"/>
      <c r="V53" s="62"/>
      <c r="W53" s="62"/>
      <c r="X53" s="62"/>
      <c r="Y53" s="62"/>
      <c r="Z53" s="62"/>
      <c r="AA53" s="62"/>
      <c r="AB53" s="62"/>
      <c r="AC53" s="62"/>
      <c r="AD53" s="62"/>
      <c r="AE53" s="62"/>
      <c r="AF53" s="62"/>
      <c r="AG53" s="62"/>
      <c r="AH53" s="62"/>
      <c r="AI53" s="62"/>
      <c r="AJ53" s="62"/>
      <c r="AK53" s="62"/>
      <c r="AL53" s="62"/>
      <c r="AM53" s="62"/>
      <c r="AN53" s="62"/>
    </row>
    <row r="54" spans="1:40" x14ac:dyDescent="0.45">
      <c r="A54" s="62"/>
      <c r="B54" s="124">
        <v>0</v>
      </c>
      <c r="C54" s="62"/>
      <c r="D54" s="62"/>
      <c r="E54" s="62"/>
      <c r="F54" s="62"/>
      <c r="G54" s="62"/>
      <c r="H54" s="62"/>
      <c r="I54" s="124">
        <v>0</v>
      </c>
      <c r="J54" s="124">
        <v>0</v>
      </c>
      <c r="K54" s="127">
        <v>0.33300000000000002</v>
      </c>
      <c r="L54" s="124">
        <v>0.33300000000000002</v>
      </c>
      <c r="M54" s="127">
        <v>0</v>
      </c>
      <c r="N54" s="124">
        <v>0</v>
      </c>
      <c r="O54" s="62"/>
      <c r="P54" s="62"/>
      <c r="R54" s="62"/>
      <c r="S54" s="62"/>
      <c r="T54" s="62"/>
      <c r="U54" s="62"/>
      <c r="V54" s="62"/>
      <c r="W54" s="62"/>
      <c r="X54" s="62"/>
      <c r="Y54" s="62"/>
      <c r="Z54" s="62"/>
      <c r="AA54" s="62"/>
      <c r="AB54" s="62"/>
      <c r="AC54" s="62"/>
      <c r="AD54" s="62"/>
      <c r="AE54" s="62"/>
      <c r="AF54" s="62"/>
      <c r="AG54" s="62"/>
      <c r="AH54" s="62"/>
      <c r="AI54" s="62"/>
      <c r="AJ54" s="62"/>
      <c r="AK54" s="62"/>
      <c r="AL54" s="62"/>
      <c r="AM54" s="62"/>
      <c r="AN54" s="62"/>
    </row>
    <row r="55" spans="1:40" x14ac:dyDescent="0.45">
      <c r="A55" s="62"/>
      <c r="B55" s="124">
        <v>6</v>
      </c>
      <c r="C55" s="62"/>
      <c r="D55" s="62"/>
      <c r="E55" s="62"/>
      <c r="F55" s="62"/>
      <c r="G55" s="62"/>
      <c r="H55" s="62"/>
      <c r="I55" s="124">
        <v>6</v>
      </c>
      <c r="J55" s="127">
        <v>3</v>
      </c>
      <c r="K55" s="124">
        <v>3</v>
      </c>
      <c r="L55" s="127">
        <v>2</v>
      </c>
      <c r="M55" s="127">
        <v>1</v>
      </c>
      <c r="N55" s="127">
        <v>0</v>
      </c>
      <c r="O55" s="62"/>
      <c r="P55" s="62"/>
      <c r="R55" s="62"/>
      <c r="S55" s="62"/>
      <c r="T55" s="62"/>
      <c r="U55" s="62"/>
      <c r="V55" s="62"/>
      <c r="W55" s="62"/>
      <c r="X55" s="62"/>
      <c r="Y55" s="62"/>
      <c r="Z55" s="62"/>
      <c r="AA55" s="62"/>
      <c r="AB55" s="62"/>
      <c r="AC55" s="62"/>
      <c r="AD55" s="62"/>
      <c r="AE55" s="62"/>
      <c r="AF55" s="62"/>
      <c r="AG55" s="62"/>
      <c r="AH55" s="62"/>
      <c r="AI55" s="62"/>
      <c r="AJ55" s="62"/>
      <c r="AK55" s="62"/>
      <c r="AL55" s="62"/>
      <c r="AM55" s="62"/>
      <c r="AN55" s="62"/>
    </row>
    <row r="56" spans="1:40" x14ac:dyDescent="0.45">
      <c r="A56" s="62"/>
      <c r="B56" s="124">
        <v>5</v>
      </c>
      <c r="C56" s="62"/>
      <c r="D56" s="62"/>
      <c r="E56" s="62"/>
      <c r="F56" s="62"/>
      <c r="G56" s="62"/>
      <c r="H56" s="62"/>
      <c r="I56" s="124">
        <v>5</v>
      </c>
      <c r="J56" s="127">
        <v>-2</v>
      </c>
      <c r="K56" s="127">
        <v>-5</v>
      </c>
      <c r="L56" s="127">
        <v>-10</v>
      </c>
      <c r="M56" s="124">
        <v>-10</v>
      </c>
      <c r="N56" s="124">
        <v>-10</v>
      </c>
      <c r="O56" s="62"/>
      <c r="P56" s="62"/>
      <c r="R56" s="62"/>
      <c r="S56" s="62"/>
      <c r="T56" s="62"/>
      <c r="U56" s="62"/>
      <c r="V56" s="62"/>
      <c r="W56" s="62"/>
      <c r="X56" s="62"/>
      <c r="Y56" s="62"/>
      <c r="Z56" s="62"/>
      <c r="AA56" s="62"/>
      <c r="AB56" s="62"/>
      <c r="AC56" s="62"/>
      <c r="AD56" s="62"/>
      <c r="AE56" s="62"/>
      <c r="AF56" s="62"/>
      <c r="AG56" s="62"/>
      <c r="AH56" s="62"/>
      <c r="AI56" s="62"/>
      <c r="AJ56" s="62"/>
      <c r="AK56" s="62"/>
      <c r="AL56" s="62"/>
      <c r="AM56" s="62"/>
      <c r="AN56" s="62"/>
    </row>
    <row r="57" spans="1:40" x14ac:dyDescent="0.45">
      <c r="A57" s="62"/>
      <c r="B57" s="124">
        <v>2</v>
      </c>
      <c r="C57" s="62"/>
      <c r="D57" s="62"/>
      <c r="E57" s="62"/>
      <c r="F57" s="62"/>
      <c r="G57" s="62"/>
      <c r="H57" s="62"/>
      <c r="I57" s="124">
        <v>2</v>
      </c>
      <c r="J57" s="124">
        <v>2</v>
      </c>
      <c r="K57" s="124">
        <v>2</v>
      </c>
      <c r="L57" s="124">
        <v>2</v>
      </c>
      <c r="M57" s="127">
        <v>3</v>
      </c>
      <c r="N57" s="124">
        <v>3</v>
      </c>
      <c r="O57" s="62"/>
      <c r="P57" s="62"/>
      <c r="R57" s="62"/>
      <c r="S57" s="62"/>
      <c r="T57" s="62"/>
      <c r="U57" s="62"/>
      <c r="V57" s="62"/>
      <c r="W57" s="62"/>
      <c r="X57" s="62"/>
      <c r="Y57" s="62"/>
      <c r="Z57" s="62"/>
      <c r="AA57" s="62"/>
      <c r="AB57" s="62"/>
      <c r="AC57" s="62"/>
      <c r="AD57" s="62"/>
      <c r="AE57" s="62"/>
      <c r="AF57" s="62"/>
      <c r="AG57" s="62"/>
      <c r="AH57" s="62"/>
      <c r="AI57" s="62"/>
      <c r="AJ57" s="62"/>
      <c r="AK57" s="62"/>
      <c r="AL57" s="62"/>
      <c r="AM57" s="62"/>
      <c r="AN57" s="62"/>
    </row>
    <row r="58" spans="1:40" x14ac:dyDescent="0.45">
      <c r="A58" s="62"/>
      <c r="B58" s="124">
        <v>-4</v>
      </c>
      <c r="C58" s="62"/>
      <c r="D58" s="62"/>
      <c r="E58" s="62"/>
      <c r="F58" s="62"/>
      <c r="G58" s="62"/>
      <c r="H58" s="62"/>
      <c r="I58" s="124">
        <v>-4</v>
      </c>
      <c r="J58" s="127">
        <v>4</v>
      </c>
      <c r="K58" s="124">
        <v>4</v>
      </c>
      <c r="L58" s="124">
        <v>4</v>
      </c>
      <c r="M58" s="124">
        <v>4</v>
      </c>
      <c r="N58" s="124">
        <v>4</v>
      </c>
      <c r="O58" s="62"/>
      <c r="P58" s="62"/>
      <c r="R58" s="62"/>
      <c r="S58" s="62"/>
      <c r="T58" s="62"/>
      <c r="U58" s="62"/>
      <c r="V58" s="62"/>
      <c r="W58" s="62"/>
      <c r="X58" s="62"/>
      <c r="Y58" s="62"/>
      <c r="Z58" s="62"/>
      <c r="AA58" s="62"/>
      <c r="AB58" s="62"/>
      <c r="AC58" s="62"/>
      <c r="AD58" s="62"/>
      <c r="AE58" s="62"/>
      <c r="AF58" s="62"/>
      <c r="AG58" s="62"/>
      <c r="AH58" s="62"/>
      <c r="AI58" s="62"/>
      <c r="AJ58" s="62"/>
      <c r="AK58" s="62"/>
      <c r="AL58" s="62"/>
      <c r="AM58" s="62"/>
      <c r="AN58" s="62"/>
    </row>
    <row r="59" spans="1:40" x14ac:dyDescent="0.45">
      <c r="A59" s="62"/>
      <c r="B59" s="124">
        <v>1000</v>
      </c>
      <c r="C59" s="62"/>
      <c r="D59" s="62"/>
      <c r="E59" s="62"/>
      <c r="F59" s="62"/>
      <c r="G59" s="62"/>
      <c r="H59" s="62"/>
      <c r="I59" s="124">
        <v>1000</v>
      </c>
      <c r="J59" s="124">
        <v>1000</v>
      </c>
      <c r="K59" s="124">
        <v>1000</v>
      </c>
      <c r="L59" s="124">
        <v>1000</v>
      </c>
      <c r="M59" s="124">
        <v>1000</v>
      </c>
      <c r="N59" s="124">
        <v>1000</v>
      </c>
      <c r="O59" s="62"/>
      <c r="P59" s="62"/>
      <c r="R59" s="62"/>
      <c r="S59" s="62"/>
      <c r="T59" s="62"/>
      <c r="U59" s="62"/>
      <c r="V59" s="62"/>
      <c r="W59" s="62"/>
      <c r="X59" s="62"/>
      <c r="Y59" s="62"/>
      <c r="Z59" s="62"/>
      <c r="AA59" s="62"/>
      <c r="AB59" s="62"/>
      <c r="AC59" s="62"/>
      <c r="AD59" s="62"/>
      <c r="AE59" s="62"/>
      <c r="AF59" s="62"/>
      <c r="AG59" s="62"/>
      <c r="AH59" s="62"/>
      <c r="AI59" s="62"/>
      <c r="AJ59" s="62"/>
      <c r="AK59" s="62"/>
      <c r="AL59" s="62"/>
      <c r="AM59" s="62"/>
      <c r="AN59" s="62"/>
    </row>
    <row r="60" spans="1:40" x14ac:dyDescent="0.45">
      <c r="A60" s="62"/>
      <c r="B60" s="62"/>
      <c r="C60" s="62"/>
      <c r="D60" s="62"/>
      <c r="E60" s="62"/>
      <c r="F60" s="62"/>
      <c r="G60" s="62"/>
      <c r="H60" s="62"/>
      <c r="I60" s="62"/>
      <c r="J60" s="62"/>
      <c r="K60" s="62"/>
      <c r="L60" s="62"/>
      <c r="M60" s="62"/>
      <c r="N60" s="62"/>
      <c r="O60" s="62"/>
      <c r="P60" s="62"/>
      <c r="R60" s="62"/>
      <c r="S60" s="62"/>
      <c r="T60" s="62"/>
      <c r="U60" s="62"/>
      <c r="V60" s="62"/>
      <c r="W60" s="62"/>
      <c r="X60" s="62"/>
      <c r="Y60" s="62"/>
      <c r="Z60" s="62"/>
      <c r="AA60" s="62"/>
      <c r="AB60" s="62"/>
      <c r="AC60" s="62"/>
      <c r="AD60" s="62"/>
      <c r="AE60" s="62"/>
      <c r="AF60" s="62"/>
      <c r="AG60" s="62"/>
      <c r="AH60" s="62"/>
      <c r="AI60" s="62"/>
      <c r="AJ60" s="62"/>
      <c r="AK60" s="62"/>
      <c r="AL60" s="62"/>
      <c r="AM60" s="62"/>
      <c r="AN60" s="62"/>
    </row>
    <row r="61" spans="1:40" x14ac:dyDescent="0.45">
      <c r="A61" s="62"/>
      <c r="B61" s="62" t="s">
        <v>919</v>
      </c>
      <c r="C61" s="62"/>
      <c r="D61" s="62"/>
      <c r="E61" s="62"/>
      <c r="F61" s="62"/>
      <c r="G61" s="62"/>
      <c r="H61" s="62"/>
      <c r="I61" s="62"/>
      <c r="J61" s="62"/>
      <c r="K61" s="62"/>
      <c r="L61" s="62"/>
      <c r="M61" s="62"/>
      <c r="N61" s="62"/>
      <c r="O61" s="62"/>
      <c r="P61" s="62"/>
      <c r="R61" s="62"/>
      <c r="S61" s="62"/>
      <c r="T61" s="62"/>
      <c r="U61" s="62"/>
      <c r="V61" s="62"/>
      <c r="W61" s="62"/>
      <c r="X61" s="62"/>
      <c r="Y61" s="62"/>
      <c r="Z61" s="62"/>
      <c r="AA61" s="62"/>
      <c r="AB61" s="62"/>
      <c r="AC61" s="62"/>
      <c r="AD61" s="62"/>
      <c r="AE61" s="62"/>
      <c r="AF61" s="62"/>
      <c r="AG61" s="62"/>
      <c r="AH61" s="62"/>
      <c r="AI61" s="62"/>
      <c r="AJ61" s="62"/>
      <c r="AK61" s="62"/>
      <c r="AL61" s="62"/>
      <c r="AM61" s="62"/>
      <c r="AN61" s="62"/>
    </row>
    <row r="62" spans="1:40" x14ac:dyDescent="0.45">
      <c r="A62" s="62"/>
      <c r="B62" s="124">
        <v>0.3</v>
      </c>
      <c r="C62" s="62"/>
      <c r="D62" s="62"/>
      <c r="E62" s="62"/>
      <c r="F62" s="62"/>
      <c r="G62" s="62"/>
      <c r="H62" s="62"/>
      <c r="I62" s="62"/>
      <c r="J62" s="62"/>
      <c r="K62" s="62"/>
      <c r="L62" s="62"/>
      <c r="M62" s="62"/>
      <c r="N62" s="62"/>
      <c r="O62" s="62"/>
      <c r="P62" s="62"/>
      <c r="R62" s="62"/>
      <c r="S62" s="62"/>
      <c r="T62" s="62"/>
      <c r="U62" s="62"/>
      <c r="V62" s="62"/>
      <c r="W62" s="62"/>
      <c r="X62" s="62"/>
      <c r="Y62" s="62"/>
      <c r="Z62" s="62"/>
      <c r="AA62" s="62"/>
      <c r="AB62" s="62"/>
      <c r="AC62" s="62"/>
      <c r="AD62" s="62"/>
      <c r="AE62" s="62"/>
      <c r="AF62" s="62"/>
      <c r="AG62" s="62"/>
      <c r="AH62" s="62"/>
      <c r="AI62" s="62"/>
      <c r="AJ62" s="62"/>
      <c r="AK62" s="62"/>
      <c r="AL62" s="62"/>
      <c r="AM62" s="62"/>
      <c r="AN62" s="62"/>
    </row>
    <row r="63" spans="1:40" x14ac:dyDescent="0.45">
      <c r="A63" s="62"/>
      <c r="B63" s="124">
        <v>0.8</v>
      </c>
      <c r="C63" s="62"/>
      <c r="D63" s="62"/>
      <c r="E63" s="62"/>
      <c r="F63" s="62"/>
      <c r="G63" s="62"/>
      <c r="H63" s="62"/>
      <c r="I63" s="62"/>
      <c r="J63" s="62"/>
      <c r="K63" s="62"/>
      <c r="L63" s="62"/>
      <c r="M63" s="62"/>
      <c r="N63" s="62"/>
      <c r="O63" s="62"/>
      <c r="P63" s="62"/>
      <c r="R63" s="62"/>
      <c r="S63" s="62"/>
      <c r="T63" s="62"/>
      <c r="U63" s="62"/>
      <c r="V63" s="62"/>
      <c r="W63" s="62"/>
      <c r="X63" s="62"/>
      <c r="Y63" s="62"/>
      <c r="Z63" s="62"/>
      <c r="AA63" s="62"/>
      <c r="AB63" s="62"/>
      <c r="AC63" s="62"/>
      <c r="AD63" s="62"/>
      <c r="AE63" s="62"/>
      <c r="AF63" s="62"/>
      <c r="AG63" s="62"/>
      <c r="AH63" s="62"/>
      <c r="AI63" s="62"/>
      <c r="AJ63" s="62"/>
      <c r="AK63" s="62"/>
      <c r="AL63" s="62"/>
      <c r="AM63" s="62"/>
      <c r="AN63" s="62"/>
    </row>
    <row r="64" spans="1:40" x14ac:dyDescent="0.45">
      <c r="A64" s="62"/>
      <c r="B64" s="124">
        <v>40</v>
      </c>
      <c r="C64" s="62"/>
      <c r="D64" s="62"/>
      <c r="E64" s="62"/>
      <c r="F64" s="62"/>
      <c r="G64" s="62"/>
      <c r="H64" s="62"/>
      <c r="I64" s="62"/>
      <c r="J64" s="62"/>
      <c r="K64" s="62"/>
      <c r="L64" s="62"/>
      <c r="M64" s="62"/>
      <c r="N64" s="62"/>
      <c r="O64" s="62"/>
      <c r="P64" s="62"/>
      <c r="R64" s="62"/>
      <c r="S64" s="62"/>
      <c r="T64" s="62"/>
      <c r="U64" s="62"/>
      <c r="V64" s="62"/>
      <c r="W64" s="62"/>
      <c r="X64" s="62"/>
      <c r="Y64" s="62"/>
      <c r="Z64" s="62"/>
      <c r="AA64" s="62"/>
      <c r="AB64" s="62"/>
      <c r="AC64" s="62"/>
      <c r="AD64" s="62"/>
      <c r="AE64" s="62"/>
      <c r="AF64" s="62"/>
      <c r="AG64" s="62"/>
      <c r="AH64" s="62"/>
      <c r="AI64" s="62"/>
      <c r="AJ64" s="62"/>
      <c r="AK64" s="62"/>
      <c r="AL64" s="62"/>
      <c r="AM64" s="62"/>
      <c r="AN64" s="62"/>
    </row>
    <row r="65" spans="1:40" x14ac:dyDescent="0.45">
      <c r="A65" s="62"/>
      <c r="B65" s="124">
        <v>16</v>
      </c>
      <c r="C65" s="62"/>
      <c r="D65" s="62"/>
      <c r="E65" s="62"/>
      <c r="F65" s="62"/>
      <c r="G65" s="62"/>
      <c r="H65" s="62"/>
      <c r="I65" s="62"/>
      <c r="J65" s="62"/>
      <c r="K65" s="62"/>
      <c r="L65" s="62"/>
      <c r="M65" s="62"/>
      <c r="N65" s="62"/>
      <c r="O65" s="62"/>
      <c r="P65" s="62"/>
      <c r="R65" s="62"/>
      <c r="S65" s="62"/>
      <c r="T65" s="62"/>
      <c r="U65" s="62"/>
      <c r="V65" s="62"/>
      <c r="W65" s="62"/>
      <c r="X65" s="62"/>
      <c r="Y65" s="62"/>
      <c r="Z65" s="62"/>
      <c r="AA65" s="62"/>
      <c r="AB65" s="62"/>
      <c r="AC65" s="62"/>
      <c r="AD65" s="62"/>
      <c r="AE65" s="62"/>
      <c r="AF65" s="62"/>
      <c r="AG65" s="62"/>
      <c r="AH65" s="62"/>
      <c r="AI65" s="62"/>
      <c r="AJ65" s="62"/>
      <c r="AK65" s="62"/>
      <c r="AL65" s="62"/>
      <c r="AM65" s="62"/>
      <c r="AN65" s="62"/>
    </row>
    <row r="66" spans="1:40" x14ac:dyDescent="0.45">
      <c r="A66" s="62"/>
      <c r="B66" s="124">
        <v>50</v>
      </c>
      <c r="C66" s="62"/>
      <c r="D66" s="62"/>
      <c r="E66" s="62"/>
      <c r="F66" s="62"/>
      <c r="G66" s="62"/>
      <c r="H66" s="62"/>
      <c r="I66" s="62"/>
      <c r="J66" s="62"/>
      <c r="K66" s="62"/>
      <c r="L66" s="62"/>
      <c r="M66" s="62"/>
      <c r="N66" s="62"/>
      <c r="O66" s="62"/>
      <c r="P66" s="62"/>
      <c r="R66" s="62"/>
      <c r="S66" s="62"/>
      <c r="T66" s="62"/>
      <c r="U66" s="62"/>
      <c r="V66" s="62"/>
      <c r="W66" s="62"/>
      <c r="X66" s="62"/>
      <c r="Y66" s="62"/>
      <c r="Z66" s="62"/>
      <c r="AA66" s="62"/>
      <c r="AB66" s="62"/>
      <c r="AC66" s="62"/>
      <c r="AD66" s="62"/>
      <c r="AE66" s="62"/>
      <c r="AF66" s="62"/>
      <c r="AG66" s="62"/>
      <c r="AH66" s="62"/>
      <c r="AI66" s="62"/>
      <c r="AJ66" s="62"/>
      <c r="AK66" s="62"/>
      <c r="AL66" s="62"/>
      <c r="AM66" s="62"/>
      <c r="AN66" s="62"/>
    </row>
    <row r="67" spans="1:40" x14ac:dyDescent="0.45">
      <c r="A67" s="62"/>
      <c r="B67" s="124">
        <v>1</v>
      </c>
      <c r="C67" s="62"/>
      <c r="D67" s="62"/>
      <c r="E67" s="62"/>
      <c r="F67" s="62"/>
      <c r="G67" s="62"/>
      <c r="H67" s="62"/>
      <c r="I67" s="62"/>
      <c r="J67" s="62"/>
      <c r="K67" s="62"/>
      <c r="L67" s="62"/>
      <c r="M67" s="62"/>
      <c r="N67" s="62"/>
      <c r="O67" s="62"/>
      <c r="P67" s="62"/>
      <c r="R67" s="62"/>
      <c r="S67" s="62"/>
      <c r="T67" s="62"/>
      <c r="U67" s="62"/>
      <c r="V67" s="62"/>
      <c r="W67" s="62"/>
      <c r="X67" s="62"/>
      <c r="Y67" s="62"/>
      <c r="Z67" s="62"/>
      <c r="AA67" s="62"/>
      <c r="AB67" s="62"/>
      <c r="AC67" s="62"/>
      <c r="AD67" s="62"/>
      <c r="AE67" s="62"/>
      <c r="AF67" s="62"/>
      <c r="AG67" s="62"/>
      <c r="AH67" s="62"/>
      <c r="AI67" s="62"/>
      <c r="AJ67" s="62"/>
      <c r="AK67" s="62"/>
      <c r="AL67" s="62"/>
      <c r="AM67" s="62"/>
      <c r="AN67" s="62"/>
    </row>
    <row r="68" spans="1:40" x14ac:dyDescent="0.45">
      <c r="A68" s="62"/>
      <c r="B68" s="124">
        <v>0.15</v>
      </c>
      <c r="C68" s="62"/>
      <c r="D68" s="62"/>
      <c r="E68" s="62"/>
      <c r="F68" s="62"/>
      <c r="G68" s="62"/>
      <c r="H68" s="62"/>
      <c r="I68" s="62"/>
      <c r="J68" s="62"/>
      <c r="K68" s="62"/>
      <c r="L68" s="62"/>
      <c r="M68" s="62"/>
      <c r="N68" s="62"/>
      <c r="O68" s="62"/>
      <c r="P68" s="62"/>
      <c r="R68" s="62"/>
      <c r="S68" s="62"/>
      <c r="T68" s="62"/>
      <c r="U68" s="62"/>
      <c r="V68" s="62"/>
      <c r="W68" s="62"/>
      <c r="X68" s="62"/>
      <c r="Y68" s="62"/>
      <c r="Z68" s="62"/>
      <c r="AA68" s="62"/>
      <c r="AB68" s="62"/>
      <c r="AC68" s="62"/>
      <c r="AD68" s="62"/>
      <c r="AE68" s="62"/>
      <c r="AF68" s="62"/>
      <c r="AG68" s="62"/>
      <c r="AH68" s="62"/>
      <c r="AI68" s="62"/>
      <c r="AJ68" s="62"/>
      <c r="AK68" s="62"/>
      <c r="AL68" s="62"/>
      <c r="AM68" s="62"/>
      <c r="AN68" s="62"/>
    </row>
    <row r="69" spans="1:40" x14ac:dyDescent="0.45">
      <c r="A69" s="62"/>
      <c r="B69" s="124">
        <v>4</v>
      </c>
      <c r="C69" s="62"/>
      <c r="D69" s="62"/>
      <c r="E69" s="62"/>
      <c r="F69" s="62"/>
      <c r="G69" s="62"/>
      <c r="H69" s="62"/>
      <c r="I69" s="62"/>
      <c r="J69" s="62"/>
      <c r="K69" s="62"/>
      <c r="L69" s="62"/>
      <c r="M69" s="62"/>
      <c r="N69" s="62"/>
      <c r="O69" s="62"/>
      <c r="P69" s="62"/>
      <c r="R69" s="62"/>
      <c r="S69" s="62"/>
      <c r="T69" s="62"/>
      <c r="U69" s="62"/>
      <c r="V69" s="62"/>
      <c r="W69" s="62"/>
      <c r="X69" s="62"/>
      <c r="Y69" s="62"/>
      <c r="Z69" s="62"/>
      <c r="AA69" s="62"/>
      <c r="AB69" s="62"/>
      <c r="AC69" s="62"/>
      <c r="AD69" s="62"/>
      <c r="AE69" s="62"/>
      <c r="AF69" s="62"/>
      <c r="AG69" s="62"/>
      <c r="AH69" s="62"/>
      <c r="AI69" s="62"/>
      <c r="AJ69" s="62"/>
      <c r="AK69" s="62"/>
      <c r="AL69" s="62"/>
      <c r="AM69" s="62"/>
      <c r="AN69" s="62"/>
    </row>
    <row r="70" spans="1:40" x14ac:dyDescent="0.45">
      <c r="A70" s="62"/>
      <c r="B70" s="124">
        <v>5</v>
      </c>
      <c r="C70" s="62"/>
      <c r="D70" s="62"/>
      <c r="E70" s="62"/>
      <c r="F70" s="62"/>
      <c r="G70" s="62"/>
      <c r="H70" s="62"/>
      <c r="I70" s="62"/>
      <c r="J70" s="62"/>
      <c r="K70" s="62"/>
      <c r="L70" s="62"/>
      <c r="M70" s="62"/>
      <c r="N70" s="62"/>
      <c r="O70" s="62"/>
      <c r="P70" s="62"/>
      <c r="R70" s="62"/>
      <c r="S70" s="62"/>
      <c r="T70" s="62"/>
      <c r="U70" s="62"/>
      <c r="V70" s="62"/>
      <c r="W70" s="62"/>
      <c r="X70" s="62"/>
      <c r="Y70" s="62"/>
      <c r="Z70" s="62"/>
      <c r="AA70" s="62"/>
      <c r="AB70" s="62"/>
      <c r="AC70" s="62"/>
      <c r="AD70" s="62"/>
      <c r="AE70" s="62"/>
      <c r="AF70" s="62"/>
      <c r="AG70" s="62"/>
      <c r="AH70" s="62"/>
      <c r="AI70" s="62"/>
      <c r="AJ70" s="62"/>
      <c r="AK70" s="62"/>
      <c r="AL70" s="62"/>
      <c r="AM70" s="62"/>
      <c r="AN70" s="62"/>
    </row>
    <row r="71" spans="1:40" x14ac:dyDescent="0.45">
      <c r="A71" s="62"/>
      <c r="B71" s="124">
        <v>1.5</v>
      </c>
      <c r="C71" s="62"/>
      <c r="D71" s="62"/>
      <c r="E71" s="62"/>
      <c r="F71" s="62"/>
      <c r="G71" s="62"/>
      <c r="H71" s="62"/>
      <c r="I71" s="62"/>
      <c r="J71" s="62"/>
      <c r="K71" s="62"/>
      <c r="L71" s="62"/>
      <c r="M71" s="62"/>
      <c r="N71" s="62"/>
      <c r="O71" s="62"/>
      <c r="P71" s="62"/>
      <c r="R71" s="62"/>
      <c r="S71" s="62"/>
      <c r="T71" s="62"/>
      <c r="U71" s="62"/>
      <c r="V71" s="62"/>
      <c r="W71" s="62"/>
      <c r="X71" s="62"/>
      <c r="Y71" s="62"/>
      <c r="Z71" s="62"/>
      <c r="AA71" s="62"/>
      <c r="AB71" s="62"/>
      <c r="AC71" s="62"/>
      <c r="AD71" s="62"/>
      <c r="AE71" s="62"/>
      <c r="AF71" s="62"/>
      <c r="AG71" s="62"/>
      <c r="AH71" s="62"/>
      <c r="AI71" s="62"/>
      <c r="AJ71" s="62"/>
      <c r="AK71" s="62"/>
      <c r="AL71" s="62"/>
      <c r="AM71" s="62"/>
      <c r="AN71" s="62"/>
    </row>
    <row r="72" spans="1:40" x14ac:dyDescent="0.45">
      <c r="A72" s="62"/>
      <c r="B72" s="124">
        <v>2</v>
      </c>
      <c r="C72" s="62"/>
      <c r="D72" s="62"/>
      <c r="E72" s="62"/>
      <c r="F72" s="62"/>
      <c r="G72" s="62"/>
      <c r="H72" s="62"/>
      <c r="I72" s="62"/>
      <c r="J72" s="62"/>
      <c r="K72" s="62"/>
      <c r="L72" s="62"/>
      <c r="M72" s="62"/>
      <c r="N72" s="62"/>
      <c r="O72" s="62"/>
      <c r="P72" s="62"/>
      <c r="R72" s="62"/>
      <c r="S72" s="62"/>
      <c r="T72" s="62"/>
      <c r="U72" s="62"/>
      <c r="V72" s="62"/>
      <c r="W72" s="62"/>
      <c r="X72" s="62"/>
      <c r="Y72" s="62"/>
      <c r="Z72" s="62"/>
      <c r="AA72" s="62"/>
      <c r="AB72" s="62"/>
      <c r="AC72" s="62"/>
      <c r="AD72" s="62"/>
      <c r="AE72" s="62"/>
      <c r="AF72" s="62"/>
      <c r="AG72" s="62"/>
      <c r="AH72" s="62"/>
      <c r="AI72" s="62"/>
      <c r="AJ72" s="62"/>
      <c r="AK72" s="62"/>
      <c r="AL72" s="62"/>
      <c r="AM72" s="62"/>
      <c r="AN72" s="62"/>
    </row>
    <row r="73" spans="1:40" x14ac:dyDescent="0.45">
      <c r="A73" s="62"/>
      <c r="B73" s="124">
        <v>1000</v>
      </c>
      <c r="C73" s="62"/>
      <c r="D73" s="62"/>
      <c r="E73" s="62"/>
      <c r="F73" s="62"/>
      <c r="G73" s="62"/>
      <c r="H73" s="62"/>
      <c r="I73" s="62"/>
      <c r="J73" s="62"/>
      <c r="K73" s="62"/>
      <c r="L73" s="62"/>
      <c r="M73" s="62"/>
      <c r="N73" s="62"/>
      <c r="O73" s="62"/>
      <c r="P73" s="62"/>
      <c r="R73" s="62"/>
      <c r="S73" s="62"/>
      <c r="T73" s="62"/>
      <c r="U73" s="62"/>
      <c r="V73" s="62"/>
      <c r="W73" s="62"/>
      <c r="X73" s="62"/>
      <c r="Y73" s="62"/>
      <c r="Z73" s="62"/>
      <c r="AA73" s="62"/>
      <c r="AB73" s="62"/>
      <c r="AC73" s="62"/>
      <c r="AD73" s="62"/>
      <c r="AE73" s="62"/>
      <c r="AF73" s="62"/>
      <c r="AG73" s="62"/>
      <c r="AH73" s="62"/>
      <c r="AI73" s="62"/>
      <c r="AJ73" s="62"/>
      <c r="AK73" s="62"/>
      <c r="AL73" s="62"/>
      <c r="AM73" s="62"/>
      <c r="AN73" s="62"/>
    </row>
    <row r="74" spans="1:40" x14ac:dyDescent="0.45">
      <c r="A74" s="62"/>
      <c r="B74" s="62"/>
      <c r="C74" s="62"/>
      <c r="D74" s="62"/>
      <c r="E74" s="62"/>
      <c r="F74" s="62"/>
      <c r="G74" s="62"/>
      <c r="H74" s="62"/>
      <c r="I74" s="62"/>
      <c r="J74" s="62"/>
      <c r="K74" s="62"/>
      <c r="L74" s="62"/>
      <c r="M74" s="62"/>
      <c r="N74" s="62"/>
      <c r="O74" s="62"/>
      <c r="P74" s="62"/>
      <c r="R74" s="62"/>
      <c r="S74" s="62"/>
      <c r="T74" s="62"/>
      <c r="U74" s="62"/>
      <c r="V74" s="62"/>
      <c r="W74" s="62"/>
      <c r="X74" s="62"/>
      <c r="Y74" s="62"/>
      <c r="Z74" s="62"/>
      <c r="AA74" s="62"/>
      <c r="AB74" s="62"/>
      <c r="AC74" s="62"/>
      <c r="AD74" s="62"/>
      <c r="AE74" s="62"/>
      <c r="AF74" s="62"/>
      <c r="AG74" s="62"/>
      <c r="AH74" s="62"/>
      <c r="AI74" s="62"/>
      <c r="AJ74" s="62"/>
      <c r="AK74" s="62"/>
      <c r="AL74" s="62"/>
      <c r="AM74" s="62"/>
      <c r="AN74" s="62"/>
    </row>
    <row r="75" spans="1:40" x14ac:dyDescent="0.45">
      <c r="A75" s="62"/>
      <c r="B75" s="62" t="s">
        <v>920</v>
      </c>
      <c r="C75" s="62"/>
      <c r="D75" s="62"/>
      <c r="E75" s="62"/>
      <c r="F75" s="62"/>
      <c r="G75" s="62"/>
      <c r="H75" s="62"/>
      <c r="I75" s="62"/>
      <c r="J75" s="62"/>
      <c r="K75" s="62"/>
      <c r="L75" s="62"/>
      <c r="M75" s="62"/>
      <c r="N75" s="62"/>
      <c r="O75" s="62"/>
      <c r="P75" s="62"/>
      <c r="R75" s="62"/>
      <c r="S75" s="62"/>
      <c r="T75" s="62"/>
      <c r="U75" s="62"/>
      <c r="V75" s="62"/>
      <c r="W75" s="62"/>
      <c r="X75" s="62"/>
      <c r="Y75" s="62"/>
      <c r="Z75" s="62"/>
      <c r="AA75" s="62"/>
      <c r="AB75" s="62"/>
      <c r="AC75" s="62"/>
      <c r="AD75" s="62"/>
      <c r="AE75" s="62"/>
      <c r="AF75" s="62"/>
      <c r="AG75" s="62"/>
      <c r="AH75" s="62"/>
      <c r="AI75" s="62"/>
      <c r="AJ75" s="62"/>
      <c r="AK75" s="62"/>
      <c r="AL75" s="62"/>
      <c r="AM75" s="62"/>
      <c r="AN75" s="62"/>
    </row>
    <row r="76" spans="1:40" x14ac:dyDescent="0.45">
      <c r="A76" s="62"/>
      <c r="B76" s="124">
        <v>0.6</v>
      </c>
      <c r="C76" s="62"/>
      <c r="D76" s="62"/>
      <c r="E76" s="62"/>
      <c r="F76" s="62"/>
      <c r="G76" s="62"/>
      <c r="H76" s="62"/>
      <c r="I76" s="62"/>
      <c r="J76" s="62"/>
      <c r="K76" s="62"/>
      <c r="L76" s="62"/>
      <c r="M76" s="62"/>
      <c r="N76" s="62"/>
      <c r="O76" s="62"/>
      <c r="P76" s="62"/>
      <c r="R76" s="62"/>
      <c r="S76" s="62"/>
      <c r="T76" s="62"/>
      <c r="U76" s="62"/>
      <c r="V76" s="62"/>
      <c r="W76" s="62"/>
      <c r="X76" s="62"/>
      <c r="Y76" s="62"/>
      <c r="Z76" s="62"/>
      <c r="AA76" s="62"/>
      <c r="AB76" s="62"/>
      <c r="AC76" s="62"/>
      <c r="AD76" s="62"/>
      <c r="AE76" s="62"/>
      <c r="AF76" s="62"/>
      <c r="AG76" s="62"/>
      <c r="AH76" s="62"/>
      <c r="AI76" s="62"/>
      <c r="AJ76" s="62"/>
      <c r="AK76" s="62"/>
      <c r="AL76" s="62"/>
      <c r="AM76" s="62"/>
      <c r="AN76" s="62"/>
    </row>
    <row r="77" spans="1:40" x14ac:dyDescent="0.45">
      <c r="A77" s="62"/>
      <c r="B77" s="124">
        <v>1.6</v>
      </c>
      <c r="C77" s="62"/>
      <c r="D77" s="62"/>
      <c r="E77" s="62"/>
      <c r="F77" s="62"/>
      <c r="G77" s="62"/>
      <c r="H77" s="62"/>
      <c r="I77" s="62"/>
      <c r="J77" s="62"/>
      <c r="K77" s="62"/>
      <c r="L77" s="62"/>
      <c r="M77" s="62"/>
      <c r="N77" s="62"/>
      <c r="O77" s="62"/>
      <c r="P77" s="62"/>
      <c r="R77" s="62"/>
      <c r="S77" s="62"/>
      <c r="T77" s="62"/>
      <c r="U77" s="62"/>
      <c r="V77" s="62"/>
      <c r="W77" s="62"/>
      <c r="X77" s="62"/>
      <c r="Y77" s="62"/>
      <c r="Z77" s="62"/>
      <c r="AA77" s="62"/>
      <c r="AB77" s="62"/>
      <c r="AC77" s="62"/>
      <c r="AD77" s="62"/>
      <c r="AE77" s="62"/>
      <c r="AF77" s="62"/>
      <c r="AG77" s="62"/>
      <c r="AH77" s="62"/>
      <c r="AI77" s="62"/>
      <c r="AJ77" s="62"/>
      <c r="AK77" s="62"/>
      <c r="AL77" s="62"/>
      <c r="AM77" s="62"/>
      <c r="AN77" s="62"/>
    </row>
    <row r="78" spans="1:40" x14ac:dyDescent="0.45">
      <c r="A78" s="62"/>
      <c r="B78" s="124">
        <v>40</v>
      </c>
      <c r="C78" s="62"/>
      <c r="D78" s="62"/>
      <c r="E78" s="62"/>
      <c r="F78" s="62"/>
      <c r="G78" s="62"/>
      <c r="H78" s="62"/>
      <c r="I78" s="62"/>
      <c r="J78" s="62"/>
      <c r="K78" s="62"/>
      <c r="L78" s="62"/>
      <c r="M78" s="62"/>
      <c r="N78" s="62"/>
      <c r="O78" s="62"/>
      <c r="P78" s="62"/>
      <c r="R78" s="62"/>
      <c r="S78" s="62"/>
      <c r="T78" s="62"/>
      <c r="U78" s="62"/>
      <c r="V78" s="62"/>
      <c r="W78" s="62"/>
      <c r="X78" s="62"/>
      <c r="Y78" s="62"/>
      <c r="Z78" s="62"/>
      <c r="AA78" s="62"/>
      <c r="AB78" s="62"/>
      <c r="AC78" s="62"/>
      <c r="AD78" s="62"/>
      <c r="AE78" s="62"/>
      <c r="AF78" s="62"/>
      <c r="AG78" s="62"/>
      <c r="AH78" s="62"/>
      <c r="AI78" s="62"/>
      <c r="AJ78" s="62"/>
      <c r="AK78" s="62"/>
      <c r="AL78" s="62"/>
      <c r="AM78" s="62"/>
      <c r="AN78" s="62"/>
    </row>
    <row r="79" spans="1:40" x14ac:dyDescent="0.45">
      <c r="A79" s="62"/>
      <c r="B79" s="124">
        <v>16</v>
      </c>
      <c r="C79" s="62"/>
      <c r="D79" s="62"/>
      <c r="E79" s="62"/>
      <c r="F79" s="62"/>
      <c r="G79" s="62"/>
      <c r="H79" s="62"/>
      <c r="I79" s="62"/>
      <c r="J79" s="62"/>
      <c r="K79" s="62"/>
      <c r="L79" s="62"/>
      <c r="M79" s="62"/>
      <c r="N79" s="62"/>
      <c r="O79" s="62"/>
      <c r="P79" s="62"/>
      <c r="R79" s="62"/>
      <c r="S79" s="62"/>
      <c r="T79" s="62"/>
      <c r="U79" s="62"/>
      <c r="V79" s="62"/>
      <c r="W79" s="62"/>
      <c r="X79" s="62"/>
      <c r="Y79" s="62"/>
      <c r="Z79" s="62"/>
      <c r="AA79" s="62"/>
      <c r="AB79" s="62"/>
      <c r="AC79" s="62"/>
      <c r="AD79" s="62"/>
      <c r="AE79" s="62"/>
      <c r="AF79" s="62"/>
      <c r="AG79" s="62"/>
      <c r="AH79" s="62"/>
      <c r="AI79" s="62"/>
      <c r="AJ79" s="62"/>
      <c r="AK79" s="62"/>
      <c r="AL79" s="62"/>
      <c r="AM79" s="62"/>
      <c r="AN79" s="62"/>
    </row>
    <row r="80" spans="1:40" x14ac:dyDescent="0.45">
      <c r="A80" s="62"/>
      <c r="B80" s="124">
        <v>50</v>
      </c>
      <c r="C80" s="62"/>
      <c r="D80" s="62"/>
      <c r="E80" s="62"/>
      <c r="F80" s="62"/>
      <c r="G80" s="62"/>
      <c r="H80" s="62"/>
      <c r="I80" s="62"/>
      <c r="J80" s="62"/>
      <c r="K80" s="62"/>
      <c r="L80" s="62"/>
      <c r="M80" s="62"/>
      <c r="N80" s="62"/>
      <c r="O80" s="62"/>
      <c r="P80" s="62"/>
      <c r="R80" s="62"/>
      <c r="S80" s="62"/>
      <c r="T80" s="62"/>
      <c r="U80" s="62"/>
      <c r="V80" s="62"/>
      <c r="W80" s="62"/>
      <c r="X80" s="62"/>
      <c r="Y80" s="62"/>
      <c r="Z80" s="62"/>
      <c r="AA80" s="62"/>
      <c r="AB80" s="62"/>
      <c r="AC80" s="62"/>
      <c r="AD80" s="62"/>
      <c r="AE80" s="62"/>
      <c r="AF80" s="62"/>
      <c r="AG80" s="62"/>
      <c r="AH80" s="62"/>
      <c r="AI80" s="62"/>
      <c r="AJ80" s="62"/>
      <c r="AK80" s="62"/>
      <c r="AL80" s="62"/>
      <c r="AM80" s="62"/>
      <c r="AN80" s="62"/>
    </row>
    <row r="81" spans="1:40" x14ac:dyDescent="0.45">
      <c r="A81" s="62"/>
      <c r="B81" s="124">
        <v>1</v>
      </c>
      <c r="C81" s="62"/>
      <c r="D81" s="62"/>
      <c r="E81" s="62"/>
      <c r="F81" s="62"/>
      <c r="G81" s="62"/>
      <c r="H81" s="62"/>
      <c r="I81" s="62"/>
      <c r="J81" s="62"/>
      <c r="K81" s="62"/>
      <c r="L81" s="62"/>
      <c r="M81" s="62"/>
      <c r="N81" s="62"/>
      <c r="O81" s="62"/>
      <c r="P81" s="62"/>
      <c r="R81" s="62"/>
      <c r="S81" s="62"/>
      <c r="T81" s="62"/>
      <c r="U81" s="62"/>
      <c r="V81" s="62"/>
      <c r="W81" s="62"/>
      <c r="X81" s="62"/>
      <c r="Y81" s="62"/>
      <c r="Z81" s="62"/>
      <c r="AA81" s="62"/>
      <c r="AB81" s="62"/>
      <c r="AC81" s="62"/>
      <c r="AD81" s="62"/>
      <c r="AE81" s="62"/>
      <c r="AF81" s="62"/>
      <c r="AG81" s="62"/>
      <c r="AH81" s="62"/>
      <c r="AI81" s="62"/>
      <c r="AJ81" s="62"/>
      <c r="AK81" s="62"/>
      <c r="AL81" s="62"/>
      <c r="AM81" s="62"/>
      <c r="AN81" s="62"/>
    </row>
    <row r="82" spans="1:40" x14ac:dyDescent="0.45">
      <c r="A82" s="62"/>
      <c r="B82" s="124">
        <v>0</v>
      </c>
      <c r="C82" s="62"/>
      <c r="D82" s="62"/>
      <c r="E82" s="62"/>
      <c r="F82" s="62"/>
      <c r="G82" s="62"/>
      <c r="H82" s="62"/>
      <c r="I82" s="62"/>
      <c r="J82" s="62"/>
      <c r="K82" s="62"/>
      <c r="L82" s="62"/>
      <c r="M82" s="62"/>
      <c r="N82" s="62"/>
      <c r="O82" s="62"/>
      <c r="P82" s="62"/>
      <c r="R82" s="62"/>
      <c r="S82" s="62"/>
      <c r="T82" s="62"/>
      <c r="U82" s="62"/>
      <c r="V82" s="62"/>
      <c r="W82" s="62"/>
      <c r="X82" s="62"/>
      <c r="Y82" s="62"/>
      <c r="Z82" s="62"/>
      <c r="AA82" s="62"/>
      <c r="AB82" s="62"/>
      <c r="AC82" s="62"/>
      <c r="AD82" s="62"/>
      <c r="AE82" s="62"/>
      <c r="AF82" s="62"/>
      <c r="AG82" s="62"/>
      <c r="AH82" s="62"/>
      <c r="AI82" s="62"/>
      <c r="AJ82" s="62"/>
      <c r="AK82" s="62"/>
      <c r="AL82" s="62"/>
      <c r="AM82" s="62"/>
      <c r="AN82" s="62"/>
    </row>
    <row r="83" spans="1:40" x14ac:dyDescent="0.45">
      <c r="A83" s="62"/>
      <c r="B83" s="124">
        <v>3</v>
      </c>
      <c r="C83" s="62"/>
      <c r="D83" s="62"/>
      <c r="E83" s="62"/>
      <c r="F83" s="62"/>
      <c r="G83" s="62"/>
      <c r="H83" s="62"/>
      <c r="I83" s="62"/>
      <c r="J83" s="62"/>
      <c r="K83" s="62"/>
      <c r="L83" s="62"/>
      <c r="M83" s="62"/>
      <c r="N83" s="62"/>
      <c r="O83" s="62"/>
      <c r="P83" s="62"/>
      <c r="R83" s="62"/>
      <c r="S83" s="62"/>
      <c r="T83" s="62"/>
      <c r="U83" s="62"/>
      <c r="V83" s="62"/>
      <c r="W83" s="62"/>
      <c r="X83" s="62"/>
      <c r="Y83" s="62"/>
      <c r="Z83" s="62"/>
      <c r="AA83" s="62"/>
      <c r="AB83" s="62"/>
      <c r="AC83" s="62"/>
      <c r="AD83" s="62"/>
      <c r="AE83" s="62"/>
      <c r="AF83" s="62"/>
      <c r="AG83" s="62"/>
      <c r="AH83" s="62"/>
      <c r="AI83" s="62"/>
      <c r="AJ83" s="62"/>
      <c r="AK83" s="62"/>
      <c r="AL83" s="62"/>
      <c r="AM83" s="62"/>
      <c r="AN83" s="62"/>
    </row>
    <row r="84" spans="1:40" x14ac:dyDescent="0.45">
      <c r="A84" s="62"/>
      <c r="B84" s="124">
        <v>8</v>
      </c>
      <c r="C84" s="62"/>
      <c r="D84" s="62"/>
      <c r="E84" s="62"/>
      <c r="F84" s="62"/>
      <c r="G84" s="62"/>
      <c r="H84" s="62"/>
      <c r="I84" s="62"/>
      <c r="J84" s="62"/>
      <c r="K84" s="62"/>
      <c r="L84" s="62"/>
      <c r="M84" s="62"/>
      <c r="N84" s="62"/>
      <c r="O84" s="62"/>
      <c r="P84" s="62"/>
      <c r="R84" s="62"/>
      <c r="S84" s="62"/>
      <c r="T84" s="62"/>
      <c r="U84" s="62"/>
      <c r="V84" s="62"/>
      <c r="W84" s="62"/>
      <c r="X84" s="62"/>
      <c r="Y84" s="62"/>
      <c r="Z84" s="62"/>
      <c r="AA84" s="62"/>
      <c r="AB84" s="62"/>
      <c r="AC84" s="62"/>
      <c r="AD84" s="62"/>
      <c r="AE84" s="62"/>
      <c r="AF84" s="62"/>
      <c r="AG84" s="62"/>
      <c r="AH84" s="62"/>
      <c r="AI84" s="62"/>
      <c r="AJ84" s="62"/>
      <c r="AK84" s="62"/>
      <c r="AL84" s="62"/>
      <c r="AM84" s="62"/>
      <c r="AN84" s="62"/>
    </row>
    <row r="85" spans="1:40" x14ac:dyDescent="0.45">
      <c r="A85" s="62"/>
      <c r="B85" s="124">
        <v>1</v>
      </c>
      <c r="C85" s="62"/>
      <c r="D85" s="62"/>
      <c r="E85" s="62"/>
      <c r="F85" s="62"/>
      <c r="G85" s="62"/>
      <c r="H85" s="62"/>
      <c r="I85" s="62"/>
      <c r="J85" s="62"/>
      <c r="K85" s="62"/>
      <c r="L85" s="62"/>
      <c r="M85" s="62"/>
      <c r="N85" s="62"/>
      <c r="O85" s="62"/>
      <c r="P85" s="62"/>
      <c r="R85" s="62"/>
      <c r="S85" s="62"/>
      <c r="T85" s="62"/>
      <c r="U85" s="62"/>
      <c r="V85" s="62"/>
      <c r="W85" s="62"/>
      <c r="X85" s="62"/>
      <c r="Y85" s="62"/>
      <c r="Z85" s="62"/>
      <c r="AA85" s="62"/>
      <c r="AB85" s="62"/>
      <c r="AC85" s="62"/>
      <c r="AD85" s="62"/>
      <c r="AE85" s="62"/>
      <c r="AF85" s="62"/>
      <c r="AG85" s="62"/>
      <c r="AH85" s="62"/>
      <c r="AI85" s="62"/>
      <c r="AJ85" s="62"/>
      <c r="AK85" s="62"/>
      <c r="AL85" s="62"/>
      <c r="AM85" s="62"/>
      <c r="AN85" s="62"/>
    </row>
    <row r="86" spans="1:40" x14ac:dyDescent="0.45">
      <c r="A86" s="62"/>
      <c r="B86" s="124">
        <v>-4</v>
      </c>
      <c r="C86" s="62"/>
      <c r="D86" s="62"/>
      <c r="E86" s="62"/>
      <c r="F86" s="62"/>
      <c r="G86" s="62"/>
      <c r="H86" s="62"/>
      <c r="I86" s="62"/>
      <c r="J86" s="62"/>
      <c r="K86" s="62"/>
      <c r="L86" s="62"/>
      <c r="M86" s="62"/>
      <c r="N86" s="62"/>
      <c r="O86" s="62"/>
      <c r="P86" s="62"/>
      <c r="R86" s="62"/>
      <c r="S86" s="62"/>
      <c r="T86" s="62"/>
      <c r="U86" s="62"/>
      <c r="V86" s="62"/>
      <c r="W86" s="62"/>
      <c r="X86" s="62"/>
      <c r="Y86" s="62"/>
      <c r="Z86" s="62"/>
      <c r="AA86" s="62"/>
      <c r="AB86" s="62"/>
      <c r="AC86" s="62"/>
      <c r="AD86" s="62"/>
      <c r="AE86" s="62"/>
      <c r="AF86" s="62"/>
      <c r="AG86" s="62"/>
      <c r="AH86" s="62"/>
      <c r="AI86" s="62"/>
      <c r="AJ86" s="62"/>
      <c r="AK86" s="62"/>
      <c r="AL86" s="62"/>
      <c r="AM86" s="62"/>
      <c r="AN86" s="62"/>
    </row>
    <row r="87" spans="1:40" x14ac:dyDescent="0.45">
      <c r="A87" s="62"/>
      <c r="B87" s="124">
        <v>500</v>
      </c>
      <c r="C87" s="62"/>
      <c r="D87" s="62"/>
      <c r="E87" s="62"/>
      <c r="F87" s="62"/>
      <c r="G87" s="62"/>
      <c r="H87" s="62"/>
      <c r="I87" s="62"/>
      <c r="J87" s="62"/>
      <c r="K87" s="62"/>
      <c r="L87" s="62"/>
      <c r="M87" s="62"/>
      <c r="N87" s="62"/>
      <c r="O87" s="62"/>
      <c r="P87" s="62"/>
      <c r="R87" s="62"/>
      <c r="S87" s="62"/>
      <c r="T87" s="62"/>
      <c r="U87" s="62"/>
      <c r="V87" s="62"/>
      <c r="W87" s="62"/>
      <c r="X87" s="62"/>
      <c r="Y87" s="62"/>
      <c r="Z87" s="62"/>
      <c r="AA87" s="62"/>
      <c r="AB87" s="62"/>
      <c r="AC87" s="62"/>
      <c r="AD87" s="62"/>
      <c r="AE87" s="62"/>
      <c r="AF87" s="62"/>
      <c r="AG87" s="62"/>
      <c r="AH87" s="62"/>
      <c r="AI87" s="62"/>
      <c r="AJ87" s="62"/>
      <c r="AK87" s="62"/>
      <c r="AL87" s="62"/>
      <c r="AM87" s="62"/>
      <c r="AN87" s="62"/>
    </row>
  </sheetData>
  <mergeCells count="14">
    <mergeCell ref="E43:L43"/>
    <mergeCell ref="G48:G51"/>
    <mergeCell ref="E37:L37"/>
    <mergeCell ref="E38:L38"/>
    <mergeCell ref="E39:L39"/>
    <mergeCell ref="E40:L40"/>
    <mergeCell ref="E41:L41"/>
    <mergeCell ref="E42:L42"/>
    <mergeCell ref="E36:L36"/>
    <mergeCell ref="B31:L31"/>
    <mergeCell ref="E32:L32"/>
    <mergeCell ref="E33:L33"/>
    <mergeCell ref="E34:L34"/>
    <mergeCell ref="E35:L35"/>
  </mergeCells>
  <conditionalFormatting sqref="W68:W78">
    <cfRule type="aboveAverage" dxfId="7" priority="1"/>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67209-CD11-49B0-A59A-3E8F8985DA60}">
  <sheetPr codeName="Sheet10"/>
  <dimension ref="A3:AT116"/>
  <sheetViews>
    <sheetView workbookViewId="0">
      <selection activeCell="N34" sqref="N34"/>
    </sheetView>
  </sheetViews>
  <sheetFormatPr defaultRowHeight="14.25" x14ac:dyDescent="0.45"/>
  <sheetData>
    <row r="3" spans="1:46" x14ac:dyDescent="0.45">
      <c r="A3" s="47" t="s">
        <v>169</v>
      </c>
      <c r="B3" s="2" t="s">
        <v>929</v>
      </c>
      <c r="C3" s="47" t="s">
        <v>168</v>
      </c>
      <c r="D3" s="2" t="s">
        <v>930</v>
      </c>
      <c r="U3" s="70"/>
      <c r="AO3" t="s">
        <v>170</v>
      </c>
      <c r="AP3" t="s">
        <v>975</v>
      </c>
      <c r="AQ3" t="s">
        <v>169</v>
      </c>
      <c r="AR3" t="s">
        <v>929</v>
      </c>
      <c r="AS3" t="s">
        <v>168</v>
      </c>
      <c r="AT3" t="s">
        <v>930</v>
      </c>
    </row>
    <row r="4" spans="1:46" x14ac:dyDescent="0.45">
      <c r="A4" s="35" t="s">
        <v>0</v>
      </c>
      <c r="B4" s="47"/>
      <c r="C4" s="18"/>
      <c r="D4" s="18"/>
      <c r="E4" s="18"/>
      <c r="F4" s="18"/>
      <c r="G4" s="18"/>
      <c r="H4" s="18"/>
      <c r="I4" s="18"/>
      <c r="J4" s="18"/>
      <c r="K4" s="18"/>
      <c r="L4" s="18"/>
      <c r="M4" s="18"/>
      <c r="N4" s="18"/>
      <c r="O4" s="18"/>
      <c r="P4" s="18"/>
      <c r="Q4" s="47" t="s">
        <v>329</v>
      </c>
      <c r="U4" s="70"/>
    </row>
    <row r="5" spans="1:46" x14ac:dyDescent="0.45">
      <c r="A5" s="2">
        <v>1</v>
      </c>
      <c r="B5" s="120" t="s">
        <v>1</v>
      </c>
      <c r="C5" s="121" t="s">
        <v>18</v>
      </c>
      <c r="D5" s="121">
        <v>20</v>
      </c>
      <c r="E5" s="121">
        <v>10</v>
      </c>
      <c r="F5" s="121">
        <v>0</v>
      </c>
      <c r="G5" s="121">
        <v>30</v>
      </c>
      <c r="H5" s="121">
        <v>10</v>
      </c>
      <c r="I5" s="121">
        <v>0</v>
      </c>
      <c r="J5" s="121" t="s">
        <v>19</v>
      </c>
      <c r="K5" s="121">
        <v>0.5</v>
      </c>
      <c r="L5" s="121">
        <v>0.2</v>
      </c>
      <c r="M5" s="121"/>
      <c r="N5" s="121"/>
      <c r="O5" s="121"/>
      <c r="P5" s="121"/>
      <c r="Q5" s="121" t="s">
        <v>875</v>
      </c>
      <c r="S5" s="76" t="s">
        <v>40</v>
      </c>
      <c r="T5" s="3"/>
      <c r="U5" s="5"/>
    </row>
    <row r="6" spans="1:46" x14ac:dyDescent="0.45">
      <c r="A6" s="2">
        <v>2</v>
      </c>
      <c r="B6" s="120" t="s">
        <v>1</v>
      </c>
      <c r="C6" s="121" t="s">
        <v>18</v>
      </c>
      <c r="D6" s="121" t="s">
        <v>124</v>
      </c>
      <c r="E6" s="121" t="s">
        <v>124</v>
      </c>
      <c r="F6" s="121" t="s">
        <v>124</v>
      </c>
      <c r="G6" s="121">
        <v>190</v>
      </c>
      <c r="H6" s="121" t="s">
        <v>124</v>
      </c>
      <c r="I6" s="122" t="s">
        <v>124</v>
      </c>
      <c r="J6" s="122" t="s">
        <v>19</v>
      </c>
      <c r="K6" s="121">
        <v>0.5</v>
      </c>
      <c r="L6" s="121">
        <v>0.2</v>
      </c>
      <c r="M6" s="121"/>
      <c r="N6" s="121"/>
      <c r="O6" s="121"/>
      <c r="P6" s="121"/>
      <c r="Q6" s="121" t="s">
        <v>875</v>
      </c>
      <c r="S6" s="5" t="s">
        <v>122</v>
      </c>
      <c r="T6" s="5">
        <f>LH*0.75</f>
        <v>0.15000000000000002</v>
      </c>
      <c r="U6" s="5" t="s">
        <v>44</v>
      </c>
      <c r="AA6" s="107">
        <v>0.15</v>
      </c>
      <c r="AB6" s="107">
        <v>0.15</v>
      </c>
    </row>
    <row r="7" spans="1:46" x14ac:dyDescent="0.45">
      <c r="A7" s="2">
        <v>3</v>
      </c>
      <c r="B7" s="120" t="s">
        <v>1</v>
      </c>
      <c r="C7" s="121" t="s">
        <v>18</v>
      </c>
      <c r="D7" s="121" t="s">
        <v>124</v>
      </c>
      <c r="E7" s="121" t="s">
        <v>124</v>
      </c>
      <c r="F7" s="121" t="s">
        <v>124</v>
      </c>
      <c r="G7" s="121" t="s">
        <v>124</v>
      </c>
      <c r="H7" s="121">
        <v>100</v>
      </c>
      <c r="I7" s="122" t="s">
        <v>124</v>
      </c>
      <c r="J7" s="122" t="s">
        <v>19</v>
      </c>
      <c r="K7" s="121">
        <v>0.5</v>
      </c>
      <c r="L7" s="121">
        <v>0.2</v>
      </c>
      <c r="M7" s="121"/>
      <c r="N7" s="121"/>
      <c r="O7" s="121"/>
      <c r="P7" s="121"/>
      <c r="Q7" s="17" t="s">
        <v>875</v>
      </c>
      <c r="S7" s="5" t="s">
        <v>95</v>
      </c>
      <c r="T7" s="5">
        <v>1</v>
      </c>
      <c r="U7" s="5" t="s">
        <v>97</v>
      </c>
    </row>
    <row r="8" spans="1:46" x14ac:dyDescent="0.45">
      <c r="A8" s="2">
        <v>4</v>
      </c>
      <c r="B8" s="120" t="s">
        <v>1</v>
      </c>
      <c r="C8" s="121" t="s">
        <v>18</v>
      </c>
      <c r="D8" s="121" t="s">
        <v>124</v>
      </c>
      <c r="E8" s="121" t="s">
        <v>124</v>
      </c>
      <c r="F8" s="121" t="s">
        <v>124</v>
      </c>
      <c r="G8" s="121">
        <f>100+Radius</f>
        <v>150</v>
      </c>
      <c r="H8" s="121" t="s">
        <v>124</v>
      </c>
      <c r="I8" s="121" t="s">
        <v>124</v>
      </c>
      <c r="J8" s="121" t="s">
        <v>19</v>
      </c>
      <c r="K8" s="121">
        <v>0.5</v>
      </c>
      <c r="L8" s="121">
        <v>0.2</v>
      </c>
      <c r="M8" s="121"/>
      <c r="N8" s="121"/>
      <c r="O8" s="121"/>
      <c r="P8" s="121"/>
      <c r="Q8" s="17" t="s">
        <v>875</v>
      </c>
      <c r="S8" s="5" t="s">
        <v>96</v>
      </c>
      <c r="T8" s="5">
        <v>1</v>
      </c>
      <c r="U8" s="5" t="s">
        <v>97</v>
      </c>
    </row>
    <row r="9" spans="1:46" x14ac:dyDescent="0.45">
      <c r="A9" s="2">
        <v>5</v>
      </c>
      <c r="B9" s="129" t="s">
        <v>213</v>
      </c>
      <c r="C9" s="130">
        <v>100</v>
      </c>
      <c r="D9" s="130">
        <v>100</v>
      </c>
      <c r="E9" s="130" t="s">
        <v>964</v>
      </c>
      <c r="F9" s="130" t="s">
        <v>965</v>
      </c>
      <c r="G9" s="130" t="s">
        <v>966</v>
      </c>
      <c r="H9" s="130">
        <v>0</v>
      </c>
      <c r="I9" s="130">
        <f>(Height/LH)*PreviewFactor</f>
        <v>100</v>
      </c>
      <c r="J9" s="130">
        <f>TotalSegs*PreviewFactor</f>
        <v>25600</v>
      </c>
      <c r="K9" s="130" cm="1">
        <f t="array" ref="K9">FW</f>
        <v>0.5</v>
      </c>
      <c r="L9" s="130">
        <f>_xlfn.SINGLE(LH)</f>
        <v>0.2</v>
      </c>
      <c r="M9" s="130"/>
      <c r="N9" s="130"/>
      <c r="O9" s="130"/>
      <c r="P9" s="130"/>
      <c r="Q9" s="130" t="s">
        <v>931</v>
      </c>
      <c r="S9" s="5" t="s">
        <v>233</v>
      </c>
      <c r="T9" s="5" t="s">
        <v>244</v>
      </c>
      <c r="U9" s="5"/>
      <c r="V9" s="5" t="s">
        <v>244</v>
      </c>
      <c r="W9" s="5" t="s">
        <v>244</v>
      </c>
      <c r="X9" s="5" t="s">
        <v>244</v>
      </c>
      <c r="Y9" s="5" t="s">
        <v>244</v>
      </c>
      <c r="Z9" s="5" t="s">
        <v>244</v>
      </c>
      <c r="AA9" s="5" t="s">
        <v>244</v>
      </c>
      <c r="AB9" s="107" t="s">
        <v>594</v>
      </c>
      <c r="AC9" s="108" t="s">
        <v>635</v>
      </c>
      <c r="AD9" s="5" t="s">
        <v>244</v>
      </c>
      <c r="AE9" s="5" t="s">
        <v>244</v>
      </c>
      <c r="AF9" s="5" t="s">
        <v>244</v>
      </c>
      <c r="AG9" s="5" t="s">
        <v>244</v>
      </c>
      <c r="AH9" s="5" t="s">
        <v>244</v>
      </c>
    </row>
    <row r="10" spans="1:46" x14ac:dyDescent="0.45">
      <c r="A10" s="2">
        <v>6</v>
      </c>
      <c r="B10" s="123"/>
      <c r="C10" s="2"/>
      <c r="D10" s="2"/>
      <c r="E10" s="2"/>
      <c r="F10" s="2"/>
      <c r="G10" s="2"/>
      <c r="H10" s="2"/>
      <c r="I10" s="2"/>
      <c r="J10" s="2"/>
      <c r="K10" s="2"/>
      <c r="L10" s="2"/>
      <c r="M10" s="2"/>
      <c r="N10" s="2"/>
      <c r="O10" s="2"/>
      <c r="P10" s="2"/>
      <c r="Q10" s="2"/>
      <c r="S10" s="5" t="s">
        <v>234</v>
      </c>
      <c r="T10" s="5">
        <v>0</v>
      </c>
      <c r="U10" s="5"/>
    </row>
    <row r="11" spans="1:46" x14ac:dyDescent="0.45">
      <c r="A11" s="2">
        <v>7</v>
      </c>
      <c r="B11" s="123"/>
      <c r="C11" s="2"/>
      <c r="D11" s="2"/>
      <c r="E11" s="2"/>
      <c r="F11" s="2"/>
      <c r="G11" s="2"/>
      <c r="H11" s="2"/>
      <c r="I11" s="2"/>
      <c r="J11" s="2"/>
      <c r="K11" s="2"/>
      <c r="L11" s="2"/>
      <c r="M11" s="2"/>
      <c r="N11" s="2"/>
      <c r="O11" s="2"/>
      <c r="P11" s="2"/>
      <c r="Q11" s="2"/>
      <c r="S11" s="46"/>
      <c r="T11" s="46"/>
      <c r="U11" s="71"/>
    </row>
    <row r="12" spans="1:46" x14ac:dyDescent="0.45">
      <c r="A12" s="2">
        <v>8</v>
      </c>
      <c r="B12" s="123"/>
      <c r="C12" s="2"/>
      <c r="D12" s="2"/>
      <c r="E12" s="2"/>
      <c r="F12" s="2"/>
      <c r="G12" s="2"/>
      <c r="H12" s="2"/>
      <c r="I12" s="2"/>
      <c r="J12" s="2"/>
      <c r="K12" s="2"/>
      <c r="L12" s="2"/>
      <c r="M12" s="2"/>
      <c r="N12" s="2"/>
      <c r="O12" s="2"/>
      <c r="P12" s="2"/>
      <c r="Q12" s="2"/>
      <c r="S12" s="5" t="s">
        <v>378</v>
      </c>
      <c r="T12" s="103">
        <v>60</v>
      </c>
      <c r="U12" s="5" t="s">
        <v>43</v>
      </c>
      <c r="V12" s="102">
        <v>60</v>
      </c>
      <c r="W12" s="103">
        <v>60</v>
      </c>
      <c r="X12" s="117">
        <v>60</v>
      </c>
      <c r="Y12" s="104">
        <v>60</v>
      </c>
      <c r="Z12" s="106">
        <v>60</v>
      </c>
      <c r="AA12" s="107">
        <v>60</v>
      </c>
      <c r="AB12" s="107">
        <v>60</v>
      </c>
      <c r="AC12" s="114">
        <v>60</v>
      </c>
      <c r="AD12" s="115">
        <v>60</v>
      </c>
      <c r="AE12" s="116">
        <v>60</v>
      </c>
      <c r="AF12" s="118">
        <v>60</v>
      </c>
      <c r="AG12" s="112">
        <v>60</v>
      </c>
      <c r="AH12" s="119">
        <v>60</v>
      </c>
    </row>
    <row r="13" spans="1:46" x14ac:dyDescent="0.45">
      <c r="A13" s="2">
        <v>9</v>
      </c>
      <c r="B13" s="131"/>
      <c r="C13" s="2"/>
      <c r="D13" s="2"/>
      <c r="E13" s="2"/>
      <c r="F13" s="2"/>
      <c r="G13" s="2"/>
      <c r="H13" s="2"/>
      <c r="I13" s="2"/>
      <c r="J13" s="2"/>
      <c r="K13" s="2"/>
      <c r="L13" s="2"/>
      <c r="M13" s="2"/>
      <c r="N13" s="2"/>
      <c r="O13" s="2"/>
      <c r="P13" s="2"/>
      <c r="Q13" s="2"/>
      <c r="S13" s="5" t="s">
        <v>93</v>
      </c>
      <c r="T13" s="5">
        <v>2000</v>
      </c>
      <c r="U13" s="5" t="s">
        <v>45</v>
      </c>
    </row>
    <row r="14" spans="1:46" x14ac:dyDescent="0.45">
      <c r="B14" s="62"/>
      <c r="C14" s="62"/>
      <c r="D14" s="62"/>
      <c r="E14" s="62"/>
      <c r="F14" s="62"/>
      <c r="G14" s="62"/>
      <c r="H14" s="62"/>
      <c r="I14" s="62"/>
      <c r="J14" s="62"/>
      <c r="K14" s="62"/>
      <c r="L14" s="62"/>
      <c r="M14" s="62"/>
      <c r="N14" s="62"/>
      <c r="O14" s="62"/>
      <c r="P14" s="62"/>
      <c r="S14" s="5" t="s">
        <v>94</v>
      </c>
      <c r="T14" s="5">
        <v>2000</v>
      </c>
      <c r="U14" s="5" t="s">
        <v>45</v>
      </c>
    </row>
    <row r="15" spans="1:46" x14ac:dyDescent="0.45">
      <c r="B15" s="62"/>
      <c r="C15" s="62"/>
      <c r="D15" s="62"/>
      <c r="E15" s="62"/>
      <c r="F15" s="62"/>
      <c r="G15" s="62"/>
      <c r="H15" s="62"/>
      <c r="I15" s="62"/>
      <c r="J15" s="62"/>
      <c r="K15" s="62"/>
      <c r="L15" s="62"/>
      <c r="M15" s="62"/>
      <c r="N15" s="62"/>
      <c r="O15" s="62"/>
      <c r="P15" s="62"/>
      <c r="S15" s="5" t="s">
        <v>41</v>
      </c>
      <c r="T15" s="103">
        <v>210</v>
      </c>
      <c r="U15" s="5" t="s">
        <v>43</v>
      </c>
      <c r="V15" s="102">
        <v>210</v>
      </c>
      <c r="W15" s="103">
        <v>210</v>
      </c>
      <c r="X15" s="117">
        <v>210</v>
      </c>
      <c r="Y15" s="104">
        <v>215</v>
      </c>
      <c r="Z15" s="106">
        <v>220</v>
      </c>
      <c r="AA15" s="107">
        <v>210</v>
      </c>
      <c r="AB15" s="107">
        <v>210</v>
      </c>
      <c r="AC15" s="114">
        <v>210</v>
      </c>
      <c r="AD15" s="115">
        <v>210</v>
      </c>
      <c r="AE15" s="116">
        <v>210</v>
      </c>
      <c r="AF15" s="118">
        <v>210</v>
      </c>
      <c r="AG15" s="112">
        <v>210</v>
      </c>
      <c r="AH15" s="119">
        <v>210</v>
      </c>
    </row>
    <row r="16" spans="1:46" x14ac:dyDescent="0.45">
      <c r="B16" s="62"/>
      <c r="C16" s="62"/>
      <c r="D16" s="62"/>
      <c r="E16" s="62"/>
      <c r="F16" s="62"/>
      <c r="G16" s="62"/>
      <c r="H16" s="62"/>
      <c r="I16" s="62"/>
      <c r="J16" s="62"/>
      <c r="K16" s="62"/>
      <c r="L16" s="62"/>
      <c r="M16" s="62"/>
      <c r="N16" s="62"/>
      <c r="O16" s="62"/>
      <c r="P16" s="62"/>
      <c r="S16" s="5" t="s">
        <v>42</v>
      </c>
      <c r="T16" s="103">
        <v>1.75</v>
      </c>
      <c r="U16" s="5" t="s">
        <v>44</v>
      </c>
      <c r="V16" s="102">
        <v>2.85</v>
      </c>
      <c r="W16" s="103">
        <v>1.75</v>
      </c>
      <c r="X16" s="117">
        <v>1.75</v>
      </c>
      <c r="Y16" s="105">
        <v>1.75</v>
      </c>
      <c r="Z16" s="106">
        <v>1.75</v>
      </c>
      <c r="AA16" s="107">
        <v>1.75</v>
      </c>
      <c r="AB16" s="107">
        <v>1.75</v>
      </c>
      <c r="AC16" s="114">
        <v>1.75</v>
      </c>
      <c r="AD16" s="115">
        <v>1.75</v>
      </c>
      <c r="AE16" s="116">
        <v>1.75</v>
      </c>
      <c r="AF16" s="118">
        <v>1.75</v>
      </c>
      <c r="AG16" s="112">
        <v>2.85</v>
      </c>
      <c r="AH16" s="119">
        <v>1.75</v>
      </c>
    </row>
    <row r="17" spans="1:34" x14ac:dyDescent="0.45">
      <c r="B17" s="62"/>
      <c r="C17" s="62"/>
      <c r="D17" s="62"/>
      <c r="E17" s="62"/>
      <c r="F17" s="62"/>
      <c r="G17" s="62"/>
      <c r="H17" s="62"/>
      <c r="I17" s="62"/>
      <c r="J17" s="62"/>
      <c r="K17" s="62"/>
      <c r="L17" s="62"/>
      <c r="M17" s="62"/>
      <c r="N17" s="62"/>
      <c r="O17" s="62"/>
      <c r="P17" s="62"/>
      <c r="S17" s="5" t="s">
        <v>46</v>
      </c>
      <c r="T17" s="103" t="s">
        <v>44</v>
      </c>
      <c r="U17" s="5" t="s">
        <v>98</v>
      </c>
      <c r="V17" s="102" t="s">
        <v>89</v>
      </c>
      <c r="W17" s="103" t="s">
        <v>44</v>
      </c>
      <c r="X17" s="117" t="s">
        <v>44</v>
      </c>
      <c r="Y17" s="105" t="s">
        <v>44</v>
      </c>
      <c r="Z17" s="106" t="s">
        <v>44</v>
      </c>
      <c r="AA17" s="107" t="s">
        <v>44</v>
      </c>
      <c r="AB17" s="107" t="s">
        <v>44</v>
      </c>
      <c r="AC17" s="114" t="s">
        <v>44</v>
      </c>
      <c r="AD17" s="115" t="s">
        <v>44</v>
      </c>
      <c r="AE17" s="116" t="s">
        <v>44</v>
      </c>
      <c r="AF17" s="118" t="s">
        <v>44</v>
      </c>
      <c r="AG17" s="112" t="s">
        <v>89</v>
      </c>
      <c r="AH17" s="119" t="s">
        <v>44</v>
      </c>
    </row>
    <row r="18" spans="1:34" x14ac:dyDescent="0.45">
      <c r="B18" s="62"/>
      <c r="C18" s="62"/>
      <c r="D18" s="62"/>
      <c r="E18" s="62"/>
      <c r="F18" s="62"/>
      <c r="G18" s="62"/>
      <c r="H18" s="62"/>
      <c r="I18" s="62"/>
      <c r="J18" s="62"/>
      <c r="K18" s="62"/>
      <c r="L18" s="62"/>
      <c r="M18" s="62"/>
      <c r="N18" s="62"/>
      <c r="O18" s="62"/>
      <c r="P18" s="62"/>
      <c r="S18" s="5" t="s">
        <v>132</v>
      </c>
      <c r="T18" s="103" t="s">
        <v>459</v>
      </c>
      <c r="U18" s="5"/>
      <c r="V18" s="102" t="s">
        <v>193</v>
      </c>
      <c r="W18" s="103" t="s">
        <v>459</v>
      </c>
      <c r="X18" s="117" t="s">
        <v>434</v>
      </c>
      <c r="Y18" s="24" t="s">
        <v>553</v>
      </c>
      <c r="Z18" s="106" t="s">
        <v>503</v>
      </c>
      <c r="AA18" s="107" t="s">
        <v>593</v>
      </c>
      <c r="AB18" s="107" t="s">
        <v>594</v>
      </c>
      <c r="AC18" s="114" t="s">
        <v>641</v>
      </c>
      <c r="AD18" s="115" t="s">
        <v>673</v>
      </c>
      <c r="AE18" s="116" t="s">
        <v>740</v>
      </c>
      <c r="AF18" s="118" t="s">
        <v>764</v>
      </c>
      <c r="AG18" s="112" t="s">
        <v>797</v>
      </c>
      <c r="AH18" s="119" t="s">
        <v>826</v>
      </c>
    </row>
    <row r="19" spans="1:34" x14ac:dyDescent="0.45">
      <c r="B19" s="62"/>
      <c r="C19" s="62"/>
      <c r="D19" s="62"/>
      <c r="E19" s="62"/>
      <c r="F19" s="62"/>
      <c r="G19" s="62"/>
      <c r="H19" s="62"/>
      <c r="I19" s="62"/>
      <c r="J19" s="62"/>
      <c r="K19" s="62"/>
      <c r="L19" s="62"/>
      <c r="M19" s="62"/>
      <c r="N19" s="62"/>
      <c r="O19" s="62"/>
      <c r="P19" s="62"/>
      <c r="S19" s="5" t="s">
        <v>192</v>
      </c>
      <c r="T19" s="103" t="s">
        <v>459</v>
      </c>
      <c r="U19" s="5"/>
      <c r="V19" s="102" t="s">
        <v>163</v>
      </c>
      <c r="W19" s="103" t="s">
        <v>459</v>
      </c>
      <c r="X19" s="117" t="s">
        <v>434</v>
      </c>
      <c r="Y19" s="24" t="s">
        <v>553</v>
      </c>
      <c r="Z19" s="106" t="s">
        <v>503</v>
      </c>
      <c r="AA19" s="107" t="s">
        <v>593</v>
      </c>
      <c r="AB19" s="107" t="s">
        <v>594</v>
      </c>
      <c r="AC19" s="114" t="s">
        <v>641</v>
      </c>
      <c r="AD19" s="115" t="s">
        <v>673</v>
      </c>
      <c r="AE19" s="116" t="s">
        <v>740</v>
      </c>
      <c r="AF19" s="118" t="s">
        <v>764</v>
      </c>
      <c r="AG19" s="112" t="s">
        <v>797</v>
      </c>
      <c r="AH19" s="119" t="s">
        <v>826</v>
      </c>
    </row>
    <row r="20" spans="1:34" x14ac:dyDescent="0.45">
      <c r="B20" s="62"/>
      <c r="C20" s="62"/>
      <c r="D20" s="62"/>
      <c r="E20" s="62"/>
      <c r="F20" s="62"/>
      <c r="G20" s="62"/>
      <c r="H20" s="62"/>
      <c r="I20" s="62"/>
      <c r="J20" s="62"/>
      <c r="K20" s="62"/>
      <c r="L20" s="62"/>
      <c r="M20" s="62"/>
      <c r="N20" s="62"/>
      <c r="O20" s="62"/>
      <c r="P20" s="62"/>
      <c r="S20" s="5" t="s">
        <v>207</v>
      </c>
      <c r="T20" s="5">
        <v>20</v>
      </c>
      <c r="U20" s="5" t="s">
        <v>44</v>
      </c>
    </row>
    <row r="21" spans="1:34" x14ac:dyDescent="0.45">
      <c r="B21" s="62"/>
      <c r="C21" s="62"/>
      <c r="D21" s="62"/>
      <c r="E21" s="62"/>
      <c r="F21" s="62"/>
      <c r="G21" s="62"/>
      <c r="H21" s="62"/>
      <c r="I21" s="62"/>
      <c r="J21" s="62"/>
      <c r="K21" s="62"/>
      <c r="L21" s="62"/>
      <c r="M21" s="62"/>
      <c r="N21" s="62"/>
      <c r="O21" s="62"/>
      <c r="P21" s="62"/>
      <c r="S21" s="5" t="s">
        <v>208</v>
      </c>
      <c r="T21" s="5">
        <v>10</v>
      </c>
      <c r="U21" s="5" t="s">
        <v>44</v>
      </c>
    </row>
    <row r="22" spans="1:34" x14ac:dyDescent="0.45">
      <c r="B22" s="62"/>
      <c r="C22" s="62"/>
      <c r="D22" s="62"/>
      <c r="E22" s="62"/>
      <c r="F22" s="62"/>
      <c r="G22" s="62"/>
      <c r="H22" s="62"/>
      <c r="I22" s="62"/>
      <c r="J22" s="62"/>
      <c r="K22" s="62"/>
      <c r="L22" s="62"/>
      <c r="M22" s="62"/>
      <c r="N22" s="62"/>
      <c r="O22" s="62"/>
      <c r="P22" s="62"/>
      <c r="S22" s="5" t="s">
        <v>209</v>
      </c>
      <c r="T22" s="5">
        <v>0.3</v>
      </c>
      <c r="U22" s="5" t="s">
        <v>44</v>
      </c>
    </row>
    <row r="23" spans="1:34" x14ac:dyDescent="0.45">
      <c r="B23" s="62"/>
      <c r="C23" s="62"/>
      <c r="D23" s="62"/>
      <c r="E23" s="62"/>
      <c r="F23" s="62"/>
      <c r="G23" s="62"/>
      <c r="H23" s="62"/>
      <c r="I23" s="62"/>
      <c r="J23" s="62"/>
      <c r="K23" s="62"/>
      <c r="L23" s="62"/>
      <c r="M23" s="62"/>
      <c r="N23" s="62"/>
      <c r="O23" s="62"/>
      <c r="P23" s="62"/>
      <c r="S23" s="59" t="s">
        <v>379</v>
      </c>
      <c r="T23" s="5">
        <v>255</v>
      </c>
      <c r="U23" s="5"/>
      <c r="V23" s="1"/>
    </row>
    <row r="24" spans="1:34" x14ac:dyDescent="0.45">
      <c r="B24" s="62"/>
      <c r="C24" s="62"/>
      <c r="D24" s="62"/>
      <c r="E24" s="62"/>
      <c r="F24" s="62"/>
      <c r="G24" s="62"/>
      <c r="H24" s="62"/>
      <c r="I24" s="62"/>
      <c r="J24" s="62"/>
      <c r="K24" s="62"/>
      <c r="L24" s="62"/>
      <c r="M24" s="62"/>
      <c r="N24" s="62"/>
      <c r="O24" s="62"/>
      <c r="P24" s="62"/>
      <c r="S24" s="5" t="s">
        <v>194</v>
      </c>
      <c r="T24" s="5" t="s">
        <v>206</v>
      </c>
      <c r="U24" s="5" t="s">
        <v>198</v>
      </c>
    </row>
    <row r="25" spans="1:34" x14ac:dyDescent="0.45">
      <c r="B25" s="62"/>
      <c r="C25" s="62"/>
      <c r="D25" s="62"/>
      <c r="E25" s="62"/>
      <c r="F25" s="62"/>
      <c r="G25" s="62"/>
      <c r="H25" s="62"/>
      <c r="I25" s="62"/>
      <c r="J25" s="62"/>
      <c r="K25" s="62"/>
      <c r="L25" s="62"/>
      <c r="M25" s="62"/>
      <c r="N25" s="62"/>
      <c r="O25" s="62"/>
      <c r="P25" s="62"/>
      <c r="S25" s="5" t="s">
        <v>199</v>
      </c>
      <c r="T25" s="5">
        <v>5</v>
      </c>
      <c r="U25" s="5" t="s">
        <v>44</v>
      </c>
      <c r="V25" s="1"/>
    </row>
    <row r="26" spans="1:34" x14ac:dyDescent="0.45">
      <c r="B26" s="62"/>
      <c r="C26" s="62"/>
      <c r="D26" s="62"/>
      <c r="E26" s="62"/>
      <c r="F26" s="62"/>
      <c r="G26" s="62"/>
      <c r="H26" s="62"/>
      <c r="I26" s="62"/>
      <c r="J26" s="62"/>
      <c r="K26" s="62"/>
      <c r="L26" s="62"/>
      <c r="M26" s="62"/>
      <c r="N26" s="62"/>
      <c r="O26" s="62"/>
      <c r="P26" s="62"/>
      <c r="S26" s="5" t="s">
        <v>200</v>
      </c>
      <c r="T26" s="5">
        <v>1</v>
      </c>
      <c r="U26" s="5" t="s">
        <v>98</v>
      </c>
    </row>
    <row r="27" spans="1:34" x14ac:dyDescent="0.45">
      <c r="B27" s="62"/>
      <c r="C27" s="62"/>
      <c r="D27" s="62"/>
      <c r="E27" s="62"/>
      <c r="F27" s="62"/>
      <c r="G27" s="62"/>
      <c r="H27" s="62"/>
      <c r="I27" s="62"/>
      <c r="J27" s="62"/>
      <c r="K27" s="62"/>
      <c r="L27" s="62"/>
      <c r="M27" s="62"/>
      <c r="N27" s="62"/>
      <c r="O27" s="62"/>
      <c r="P27" s="62"/>
      <c r="S27" s="5" t="s">
        <v>201</v>
      </c>
      <c r="T27" s="5">
        <v>3000</v>
      </c>
      <c r="U27" s="5" t="s">
        <v>45</v>
      </c>
    </row>
    <row r="28" spans="1:34" x14ac:dyDescent="0.45">
      <c r="B28" s="62"/>
      <c r="C28" s="62"/>
      <c r="D28" s="62"/>
      <c r="E28" s="62"/>
      <c r="F28" s="62"/>
      <c r="G28" s="62"/>
      <c r="H28" s="62"/>
      <c r="I28" s="62"/>
      <c r="J28" s="62"/>
      <c r="K28" s="62"/>
      <c r="L28" s="62"/>
      <c r="M28" s="62"/>
      <c r="N28" s="62"/>
      <c r="O28" s="62"/>
      <c r="P28" s="62"/>
      <c r="S28" s="5" t="s">
        <v>202</v>
      </c>
      <c r="T28" s="5">
        <v>-1</v>
      </c>
      <c r="U28" s="5" t="s">
        <v>98</v>
      </c>
    </row>
    <row r="29" spans="1:34" x14ac:dyDescent="0.45">
      <c r="B29" s="62"/>
      <c r="C29" s="62"/>
      <c r="D29" s="62"/>
      <c r="E29" s="62"/>
      <c r="F29" s="62"/>
      <c r="G29" s="62"/>
      <c r="H29" s="62"/>
      <c r="I29" s="62"/>
      <c r="J29" s="62"/>
      <c r="K29" s="62"/>
      <c r="L29" s="62"/>
      <c r="M29" s="62"/>
      <c r="N29" s="62"/>
      <c r="O29" s="62"/>
      <c r="P29" s="62"/>
      <c r="S29" s="3" t="s">
        <v>203</v>
      </c>
      <c r="T29" s="3">
        <v>3000</v>
      </c>
      <c r="U29" s="5" t="s">
        <v>45</v>
      </c>
    </row>
    <row r="30" spans="1:34" x14ac:dyDescent="0.45">
      <c r="A30" s="62"/>
      <c r="B30" s="62"/>
      <c r="C30" s="62"/>
      <c r="D30" s="62"/>
      <c r="E30" s="62"/>
      <c r="F30" s="62"/>
      <c r="G30" s="62"/>
      <c r="H30" s="62"/>
      <c r="I30" s="62"/>
      <c r="J30" s="62"/>
      <c r="K30" s="62"/>
      <c r="L30" s="62"/>
      <c r="M30" s="62"/>
      <c r="N30" s="62"/>
      <c r="O30" s="62"/>
      <c r="P30" s="62"/>
      <c r="S30" s="3" t="s">
        <v>204</v>
      </c>
      <c r="T30" s="3">
        <v>0.25</v>
      </c>
      <c r="U30" s="5" t="s">
        <v>44</v>
      </c>
    </row>
    <row r="31" spans="1:34" x14ac:dyDescent="0.45">
      <c r="B31" s="62"/>
      <c r="C31" s="62"/>
      <c r="D31" s="62"/>
      <c r="E31" s="62"/>
      <c r="F31" s="62"/>
      <c r="G31" s="62"/>
      <c r="H31" s="62"/>
      <c r="I31" s="62"/>
      <c r="J31" s="62"/>
      <c r="K31" s="62"/>
      <c r="L31" s="62"/>
      <c r="M31" s="62"/>
      <c r="N31" s="62"/>
      <c r="O31" s="62"/>
      <c r="P31" s="62"/>
      <c r="S31" s="3" t="s">
        <v>205</v>
      </c>
      <c r="T31" s="3">
        <v>7500</v>
      </c>
      <c r="U31" s="5" t="s">
        <v>45</v>
      </c>
    </row>
    <row r="32" spans="1:34" x14ac:dyDescent="0.45">
      <c r="A32" s="62"/>
      <c r="B32" s="62"/>
      <c r="C32" s="62"/>
      <c r="D32" s="62"/>
      <c r="E32" s="62"/>
      <c r="F32" s="62"/>
      <c r="G32" s="62"/>
      <c r="H32" s="62"/>
      <c r="I32" s="62"/>
      <c r="J32" s="62"/>
      <c r="K32" s="62"/>
      <c r="L32" s="62"/>
      <c r="M32" s="62"/>
      <c r="N32" s="62"/>
      <c r="O32" s="62"/>
      <c r="P32" s="62"/>
      <c r="Q32" s="62"/>
      <c r="U32" s="70"/>
    </row>
    <row r="33" spans="1:40" x14ac:dyDescent="0.45">
      <c r="A33" s="62"/>
      <c r="B33" s="141" t="s">
        <v>40</v>
      </c>
      <c r="C33" s="142"/>
      <c r="D33" s="142"/>
      <c r="E33" s="142"/>
      <c r="F33" s="142"/>
      <c r="G33" s="142"/>
      <c r="H33" s="142"/>
      <c r="I33" s="142"/>
      <c r="J33" s="142"/>
      <c r="K33" s="142"/>
      <c r="L33" s="143"/>
      <c r="M33" s="62"/>
      <c r="N33" s="133" t="s">
        <v>950</v>
      </c>
      <c r="O33" s="133"/>
      <c r="P33" s="77">
        <v>0.2</v>
      </c>
      <c r="Q33" s="62"/>
      <c r="S33" s="77" t="s">
        <v>332</v>
      </c>
      <c r="T33" s="77" t="s">
        <v>333</v>
      </c>
      <c r="U33" s="78" t="s">
        <v>371</v>
      </c>
    </row>
    <row r="34" spans="1:40" x14ac:dyDescent="0.45">
      <c r="A34" s="62"/>
      <c r="B34" s="128" t="s">
        <v>949</v>
      </c>
      <c r="C34" s="57" t="s">
        <v>912</v>
      </c>
      <c r="D34" s="128"/>
      <c r="E34" s="137"/>
      <c r="F34" s="138"/>
      <c r="G34" s="138"/>
      <c r="H34" s="138"/>
      <c r="I34" s="138"/>
      <c r="J34" s="138"/>
      <c r="K34" s="138"/>
      <c r="L34" s="139"/>
      <c r="M34" s="62"/>
      <c r="N34" s="62"/>
      <c r="O34" s="62"/>
      <c r="P34" s="62"/>
      <c r="Q34" s="62"/>
      <c r="S34" s="57" t="s">
        <v>932</v>
      </c>
      <c r="T34" s="57" t="str">
        <f t="shared" ref="T34:T44" si="0">C34</f>
        <v>A</v>
      </c>
      <c r="U34" s="73"/>
    </row>
    <row r="35" spans="1:40" x14ac:dyDescent="0.45">
      <c r="A35" s="62"/>
      <c r="B35" s="128" t="s">
        <v>877</v>
      </c>
      <c r="C35" s="57">
        <v>0.2</v>
      </c>
      <c r="D35" s="128" t="s">
        <v>44</v>
      </c>
      <c r="E35" s="137"/>
      <c r="F35" s="138"/>
      <c r="G35" s="138"/>
      <c r="H35" s="138"/>
      <c r="I35" s="138"/>
      <c r="J35" s="138"/>
      <c r="K35" s="138"/>
      <c r="L35" s="139"/>
      <c r="M35" s="62"/>
      <c r="N35" s="62"/>
      <c r="O35" s="62"/>
      <c r="P35" s="62"/>
      <c r="Q35" s="62"/>
      <c r="S35" s="57" t="s">
        <v>881</v>
      </c>
      <c r="T35" s="57">
        <f t="shared" si="0"/>
        <v>0.2</v>
      </c>
      <c r="U35" s="73" t="s">
        <v>44</v>
      </c>
    </row>
    <row r="36" spans="1:40" x14ac:dyDescent="0.45">
      <c r="A36" s="62"/>
      <c r="B36" s="128" t="s">
        <v>878</v>
      </c>
      <c r="C36" s="57">
        <v>0.5</v>
      </c>
      <c r="D36" s="128" t="s">
        <v>44</v>
      </c>
      <c r="E36" s="137"/>
      <c r="F36" s="138"/>
      <c r="G36" s="138"/>
      <c r="H36" s="138"/>
      <c r="I36" s="138"/>
      <c r="J36" s="138"/>
      <c r="K36" s="138"/>
      <c r="L36" s="139"/>
      <c r="M36" s="62"/>
      <c r="N36" s="62"/>
      <c r="O36" s="62"/>
      <c r="P36" s="62"/>
      <c r="Q36" s="62"/>
      <c r="S36" s="57" t="s">
        <v>884</v>
      </c>
      <c r="T36" s="57">
        <f t="shared" si="0"/>
        <v>0.5</v>
      </c>
      <c r="U36" s="73" t="s">
        <v>44</v>
      </c>
    </row>
    <row r="37" spans="1:40" x14ac:dyDescent="0.45">
      <c r="A37" s="62"/>
      <c r="B37" s="128" t="s">
        <v>880</v>
      </c>
      <c r="C37" s="57">
        <v>100</v>
      </c>
      <c r="D37" s="128" t="s">
        <v>44</v>
      </c>
      <c r="E37" s="137"/>
      <c r="F37" s="138"/>
      <c r="G37" s="138"/>
      <c r="H37" s="138"/>
      <c r="I37" s="138"/>
      <c r="J37" s="138"/>
      <c r="K37" s="138"/>
      <c r="L37" s="139"/>
      <c r="M37" s="62"/>
      <c r="N37" s="62"/>
      <c r="O37" s="62"/>
      <c r="P37" s="62"/>
      <c r="Q37" s="62"/>
      <c r="R37" s="62"/>
      <c r="S37" s="57" t="s">
        <v>220</v>
      </c>
      <c r="T37" s="57">
        <f t="shared" si="0"/>
        <v>100</v>
      </c>
      <c r="U37" s="57" t="s">
        <v>44</v>
      </c>
      <c r="V37" s="62"/>
      <c r="W37" s="62"/>
      <c r="X37" s="62"/>
      <c r="Y37" s="62"/>
      <c r="Z37" s="62"/>
      <c r="AA37" s="62"/>
      <c r="AB37" s="62"/>
      <c r="AC37" s="62"/>
      <c r="AD37" s="62"/>
      <c r="AE37" s="62"/>
      <c r="AF37" s="62"/>
      <c r="AG37" s="62"/>
      <c r="AH37" s="62"/>
      <c r="AI37" s="62"/>
      <c r="AJ37" s="62"/>
      <c r="AK37" s="62"/>
      <c r="AL37" s="62"/>
      <c r="AM37" s="62"/>
      <c r="AN37" s="62"/>
    </row>
    <row r="38" spans="1:40" x14ac:dyDescent="0.45">
      <c r="A38" s="62"/>
      <c r="B38" s="128" t="s">
        <v>882</v>
      </c>
      <c r="C38" s="57">
        <v>50</v>
      </c>
      <c r="D38" s="128" t="s">
        <v>44</v>
      </c>
      <c r="E38" s="137" t="s">
        <v>953</v>
      </c>
      <c r="F38" s="138"/>
      <c r="G38" s="138"/>
      <c r="H38" s="138"/>
      <c r="I38" s="138"/>
      <c r="J38" s="138"/>
      <c r="K38" s="138"/>
      <c r="L38" s="139"/>
      <c r="M38" s="62"/>
      <c r="N38" s="62"/>
      <c r="O38" s="62"/>
      <c r="P38" s="62"/>
      <c r="Q38" s="62"/>
      <c r="R38" s="62"/>
      <c r="S38" s="57" t="s">
        <v>14</v>
      </c>
      <c r="T38" s="57">
        <f t="shared" si="0"/>
        <v>50</v>
      </c>
      <c r="U38" s="57" t="s">
        <v>44</v>
      </c>
      <c r="V38" s="62"/>
      <c r="W38" s="62"/>
      <c r="X38" s="62"/>
      <c r="Y38" s="62"/>
      <c r="Z38" s="62"/>
      <c r="AA38" s="62"/>
      <c r="AB38" s="62"/>
      <c r="AC38" s="62"/>
      <c r="AD38" s="62"/>
      <c r="AE38" s="62"/>
      <c r="AF38" s="62"/>
      <c r="AG38" s="62"/>
      <c r="AH38" s="62"/>
      <c r="AI38" s="62"/>
      <c r="AJ38" s="62"/>
      <c r="AK38" s="62"/>
      <c r="AL38" s="62"/>
      <c r="AM38" s="62"/>
      <c r="AN38" s="62"/>
    </row>
    <row r="39" spans="1:40" x14ac:dyDescent="0.45">
      <c r="A39" s="62"/>
      <c r="B39" s="128" t="s">
        <v>951</v>
      </c>
      <c r="C39" s="57">
        <v>16</v>
      </c>
      <c r="D39" s="128"/>
      <c r="E39" s="137" t="s">
        <v>955</v>
      </c>
      <c r="F39" s="138"/>
      <c r="G39" s="138"/>
      <c r="H39" s="138"/>
      <c r="I39" s="138"/>
      <c r="J39" s="138"/>
      <c r="K39" s="138"/>
      <c r="L39" s="139"/>
      <c r="M39" s="62"/>
      <c r="N39" s="62"/>
      <c r="O39" s="62"/>
      <c r="P39" s="62"/>
      <c r="Q39" s="62"/>
      <c r="R39" s="62"/>
      <c r="S39" s="57" t="s">
        <v>946</v>
      </c>
      <c r="T39" s="57">
        <f t="shared" si="0"/>
        <v>16</v>
      </c>
      <c r="U39" s="57"/>
      <c r="V39" s="62"/>
      <c r="W39" s="62"/>
      <c r="X39" s="62"/>
      <c r="Y39" s="62"/>
      <c r="Z39" s="62"/>
      <c r="AA39" s="62"/>
      <c r="AB39" s="62"/>
      <c r="AC39" s="62"/>
      <c r="AD39" s="62"/>
      <c r="AE39" s="62"/>
      <c r="AF39" s="62"/>
      <c r="AG39" s="62"/>
      <c r="AH39" s="62"/>
      <c r="AI39" s="62"/>
      <c r="AJ39" s="62"/>
      <c r="AK39" s="62"/>
      <c r="AL39" s="62"/>
      <c r="AM39" s="62"/>
      <c r="AN39" s="62"/>
    </row>
    <row r="40" spans="1:40" x14ac:dyDescent="0.45">
      <c r="A40" s="62"/>
      <c r="B40" s="128" t="s">
        <v>952</v>
      </c>
      <c r="C40" s="57">
        <v>1</v>
      </c>
      <c r="D40" s="128"/>
      <c r="E40" s="137" t="s">
        <v>954</v>
      </c>
      <c r="F40" s="138"/>
      <c r="G40" s="138"/>
      <c r="H40" s="138"/>
      <c r="I40" s="138"/>
      <c r="J40" s="138"/>
      <c r="K40" s="138"/>
      <c r="L40" s="139"/>
      <c r="M40" s="62"/>
      <c r="N40" s="62"/>
      <c r="O40" s="62"/>
      <c r="P40" s="62"/>
      <c r="Q40" s="62"/>
      <c r="R40" s="62"/>
      <c r="S40" s="57" t="s">
        <v>947</v>
      </c>
      <c r="T40" s="57">
        <f t="shared" si="0"/>
        <v>1</v>
      </c>
      <c r="U40" s="57"/>
      <c r="V40" s="62"/>
      <c r="W40" s="62"/>
      <c r="X40" s="62"/>
      <c r="Y40" s="62"/>
      <c r="Z40" s="62"/>
      <c r="AA40" s="62"/>
      <c r="AB40" s="62"/>
      <c r="AC40" s="62"/>
      <c r="AD40" s="62"/>
      <c r="AE40" s="62"/>
      <c r="AF40" s="62"/>
      <c r="AG40" s="62"/>
      <c r="AH40" s="62"/>
      <c r="AI40" s="62"/>
      <c r="AJ40" s="62"/>
      <c r="AK40" s="62"/>
      <c r="AL40" s="62"/>
      <c r="AM40" s="62"/>
      <c r="AN40" s="62"/>
    </row>
    <row r="41" spans="1:40" x14ac:dyDescent="0.45">
      <c r="A41" s="62"/>
      <c r="B41" s="128" t="s">
        <v>956</v>
      </c>
      <c r="C41" s="57">
        <v>10</v>
      </c>
      <c r="D41" s="128" t="s">
        <v>44</v>
      </c>
      <c r="E41" s="140" t="s">
        <v>957</v>
      </c>
      <c r="F41" s="138"/>
      <c r="G41" s="138"/>
      <c r="H41" s="138"/>
      <c r="I41" s="138"/>
      <c r="J41" s="138"/>
      <c r="K41" s="138"/>
      <c r="L41" s="139"/>
      <c r="M41" s="62"/>
      <c r="N41" s="62"/>
      <c r="O41" s="62"/>
      <c r="P41" s="62"/>
      <c r="Q41" s="62"/>
      <c r="R41" s="62"/>
      <c r="S41" s="57" t="s">
        <v>948</v>
      </c>
      <c r="T41" s="57">
        <f t="shared" si="0"/>
        <v>10</v>
      </c>
      <c r="U41" s="57" t="s">
        <v>44</v>
      </c>
      <c r="V41" s="62"/>
      <c r="W41" s="62"/>
      <c r="X41" s="62"/>
      <c r="Y41" s="62"/>
      <c r="Z41" s="62"/>
      <c r="AA41" s="62"/>
      <c r="AB41" s="62"/>
      <c r="AC41" s="62"/>
      <c r="AD41" s="62"/>
      <c r="AE41" s="62"/>
      <c r="AF41" s="62"/>
      <c r="AG41" s="62"/>
      <c r="AH41" s="62"/>
      <c r="AI41" s="62"/>
      <c r="AJ41" s="62"/>
      <c r="AK41" s="62"/>
      <c r="AL41" s="62"/>
      <c r="AM41" s="62"/>
      <c r="AN41" s="62"/>
    </row>
    <row r="42" spans="1:40" x14ac:dyDescent="0.45">
      <c r="A42" s="62"/>
      <c r="B42" s="128" t="s">
        <v>898</v>
      </c>
      <c r="C42" s="57">
        <v>0</v>
      </c>
      <c r="D42" s="128"/>
      <c r="E42" s="137" t="s">
        <v>891</v>
      </c>
      <c r="F42" s="138"/>
      <c r="G42" s="138"/>
      <c r="H42" s="138"/>
      <c r="I42" s="138"/>
      <c r="J42" s="138"/>
      <c r="K42" s="138"/>
      <c r="L42" s="139"/>
      <c r="M42" s="62"/>
      <c r="N42" s="62"/>
      <c r="O42" s="62"/>
      <c r="P42" s="62"/>
      <c r="Q42" s="62"/>
      <c r="R42" s="62"/>
      <c r="S42" s="57" t="s">
        <v>898</v>
      </c>
      <c r="T42" s="57">
        <f t="shared" si="0"/>
        <v>0</v>
      </c>
      <c r="U42" s="57" t="s">
        <v>943</v>
      </c>
      <c r="V42" s="62"/>
      <c r="W42" s="62"/>
      <c r="X42" s="62"/>
      <c r="Y42" s="62"/>
      <c r="Z42" s="62"/>
      <c r="AA42" s="62"/>
      <c r="AB42" s="62"/>
      <c r="AC42" s="62"/>
      <c r="AD42" s="62"/>
      <c r="AE42" s="62"/>
      <c r="AF42" s="62"/>
      <c r="AG42" s="62"/>
      <c r="AH42" s="62"/>
      <c r="AI42" s="62"/>
      <c r="AJ42" s="62"/>
      <c r="AK42" s="62"/>
      <c r="AL42" s="62"/>
      <c r="AM42" s="62"/>
      <c r="AN42" s="62"/>
    </row>
    <row r="43" spans="1:40" x14ac:dyDescent="0.45">
      <c r="A43" s="62"/>
      <c r="B43" s="128" t="s">
        <v>969</v>
      </c>
      <c r="C43" s="57">
        <v>0</v>
      </c>
      <c r="D43" s="126"/>
      <c r="E43" s="137" t="s">
        <v>968</v>
      </c>
      <c r="F43" s="138"/>
      <c r="G43" s="138"/>
      <c r="H43" s="138"/>
      <c r="I43" s="138"/>
      <c r="J43" s="138"/>
      <c r="K43" s="138"/>
      <c r="L43" s="139"/>
      <c r="M43" s="62"/>
      <c r="N43" s="62"/>
      <c r="O43" s="62"/>
      <c r="P43" s="62"/>
      <c r="Q43" s="62"/>
      <c r="R43" s="62"/>
      <c r="S43" s="57" t="s">
        <v>917</v>
      </c>
      <c r="T43" s="57">
        <f t="shared" si="0"/>
        <v>0</v>
      </c>
      <c r="U43" s="73"/>
      <c r="V43" s="62"/>
      <c r="W43" s="62"/>
      <c r="X43" s="62"/>
      <c r="Y43" s="62"/>
      <c r="Z43" s="62"/>
      <c r="AA43" s="62"/>
      <c r="AB43" s="62"/>
      <c r="AC43" s="62"/>
      <c r="AD43" s="62"/>
      <c r="AE43" s="62"/>
      <c r="AF43" s="62"/>
      <c r="AG43" s="62"/>
      <c r="AH43" s="62"/>
      <c r="AI43" s="62"/>
      <c r="AJ43" s="62"/>
      <c r="AK43" s="62"/>
      <c r="AL43" s="62"/>
      <c r="AM43" s="62"/>
      <c r="AN43" s="62"/>
    </row>
    <row r="44" spans="1:40" x14ac:dyDescent="0.45">
      <c r="A44" s="62"/>
      <c r="B44" s="128" t="s">
        <v>887</v>
      </c>
      <c r="C44" s="57">
        <v>256</v>
      </c>
      <c r="D44" s="126"/>
      <c r="E44" s="137" t="s">
        <v>967</v>
      </c>
      <c r="F44" s="138"/>
      <c r="G44" s="138"/>
      <c r="H44" s="138"/>
      <c r="I44" s="138"/>
      <c r="J44" s="138"/>
      <c r="K44" s="138"/>
      <c r="L44" s="139"/>
      <c r="M44" s="62"/>
      <c r="N44" s="62"/>
      <c r="O44" s="62"/>
      <c r="P44" s="62"/>
      <c r="Q44" s="62"/>
      <c r="R44" s="62"/>
      <c r="S44" s="57" t="s">
        <v>887</v>
      </c>
      <c r="T44" s="57">
        <f t="shared" si="0"/>
        <v>256</v>
      </c>
      <c r="U44" s="73"/>
      <c r="V44" s="62"/>
      <c r="W44" s="62"/>
      <c r="X44" s="62"/>
      <c r="Y44" s="62"/>
      <c r="Z44" s="62"/>
      <c r="AA44" s="62"/>
      <c r="AB44" s="62"/>
      <c r="AC44" s="62"/>
      <c r="AD44" s="62"/>
      <c r="AE44" s="62"/>
      <c r="AF44" s="62"/>
      <c r="AG44" s="62"/>
      <c r="AH44" s="62"/>
      <c r="AI44" s="62"/>
      <c r="AJ44" s="62"/>
      <c r="AK44" s="62"/>
      <c r="AL44" s="62"/>
      <c r="AM44" s="62"/>
      <c r="AN44" s="62"/>
    </row>
    <row r="45" spans="1:40" x14ac:dyDescent="0.45">
      <c r="A45" s="62"/>
      <c r="B45" s="62"/>
      <c r="C45" s="62"/>
      <c r="D45" s="62"/>
      <c r="E45" s="62"/>
      <c r="F45" s="62"/>
      <c r="G45" s="62"/>
      <c r="H45" s="62"/>
      <c r="I45" s="62"/>
      <c r="J45" s="62"/>
      <c r="K45" s="62"/>
      <c r="L45" s="62"/>
      <c r="M45" s="62"/>
      <c r="N45" s="62"/>
      <c r="O45" s="62"/>
      <c r="P45" s="62"/>
      <c r="Q45" s="62"/>
      <c r="R45" s="62"/>
      <c r="S45" s="57" t="s">
        <v>901</v>
      </c>
      <c r="T45" s="57">
        <f>2*PI()</f>
        <v>6.2831853071795862</v>
      </c>
      <c r="U45" s="57"/>
      <c r="V45" s="62"/>
      <c r="W45" s="62"/>
      <c r="X45" s="62"/>
      <c r="Y45" s="62"/>
      <c r="Z45" s="62"/>
      <c r="AA45" s="62"/>
      <c r="AB45" s="62"/>
      <c r="AC45" s="62"/>
      <c r="AD45" s="62"/>
      <c r="AE45" s="62"/>
      <c r="AF45" s="62"/>
      <c r="AG45" s="62"/>
      <c r="AH45" s="62"/>
      <c r="AI45" s="62"/>
      <c r="AJ45" s="62"/>
      <c r="AK45" s="62"/>
      <c r="AL45" s="62"/>
      <c r="AM45" s="62"/>
      <c r="AN45" s="62"/>
    </row>
    <row r="46" spans="1:40" x14ac:dyDescent="0.45">
      <c r="A46" s="62"/>
      <c r="B46" s="62"/>
      <c r="C46" s="62"/>
      <c r="D46" s="62"/>
      <c r="E46" s="62"/>
      <c r="F46" s="62"/>
      <c r="G46" s="62"/>
      <c r="H46" s="62"/>
      <c r="I46" s="62"/>
      <c r="J46" s="62"/>
      <c r="K46" s="62"/>
      <c r="L46" s="62"/>
      <c r="M46" s="62"/>
      <c r="N46" s="62"/>
      <c r="O46" s="62"/>
      <c r="P46" s="62"/>
      <c r="Q46" s="62"/>
      <c r="R46" s="62"/>
      <c r="S46" s="57" t="s">
        <v>904</v>
      </c>
      <c r="T46" s="57">
        <f>Segments*(Height/LH)</f>
        <v>128000</v>
      </c>
      <c r="U46" s="57"/>
      <c r="V46" s="62"/>
      <c r="W46" s="62"/>
      <c r="X46" s="62"/>
      <c r="Y46" s="62"/>
      <c r="Z46" s="62"/>
      <c r="AA46" s="62"/>
      <c r="AB46" s="62"/>
      <c r="AC46" s="62"/>
      <c r="AD46" s="62"/>
      <c r="AE46" s="62"/>
      <c r="AF46" s="62"/>
      <c r="AG46" s="62"/>
      <c r="AH46" s="62"/>
      <c r="AI46" s="62"/>
      <c r="AJ46" s="62"/>
      <c r="AK46" s="62"/>
      <c r="AL46" s="62"/>
      <c r="AM46" s="62"/>
      <c r="AN46" s="62"/>
    </row>
    <row r="47" spans="1:40" x14ac:dyDescent="0.45">
      <c r="A47" s="62"/>
      <c r="B47" s="134" t="s">
        <v>963</v>
      </c>
      <c r="C47" s="135"/>
      <c r="D47" s="135"/>
      <c r="E47" s="135"/>
      <c r="F47" s="135"/>
      <c r="G47" s="135"/>
      <c r="H47" s="135"/>
      <c r="I47" s="135"/>
      <c r="J47" s="136"/>
      <c r="K47" s="62"/>
      <c r="L47" s="62"/>
      <c r="M47" s="62"/>
      <c r="N47" s="62"/>
      <c r="O47" s="62"/>
      <c r="P47" s="62"/>
      <c r="Q47" s="62"/>
      <c r="R47" s="62"/>
      <c r="S47" s="57" t="s">
        <v>944</v>
      </c>
      <c r="T47" s="57">
        <f>P33</f>
        <v>0.2</v>
      </c>
      <c r="U47" s="57" t="s">
        <v>945</v>
      </c>
      <c r="V47" s="62"/>
      <c r="W47" s="62"/>
      <c r="X47" s="62"/>
      <c r="Y47" s="62"/>
      <c r="Z47" s="62"/>
      <c r="AA47" s="62"/>
      <c r="AB47" s="62"/>
      <c r="AC47" s="62"/>
      <c r="AD47" s="62"/>
      <c r="AE47" s="62"/>
      <c r="AF47" s="62"/>
      <c r="AG47" s="62"/>
      <c r="AH47" s="62"/>
      <c r="AI47" s="62"/>
      <c r="AJ47" s="62"/>
      <c r="AK47" s="62"/>
      <c r="AL47" s="62"/>
      <c r="AM47" s="62"/>
      <c r="AN47" s="62"/>
    </row>
    <row r="48" spans="1:40" x14ac:dyDescent="0.45">
      <c r="A48" s="62"/>
      <c r="B48" s="77" t="s">
        <v>332</v>
      </c>
      <c r="C48" s="77" t="s">
        <v>333</v>
      </c>
      <c r="D48" s="77" t="s">
        <v>333</v>
      </c>
      <c r="E48" s="77" t="s">
        <v>333</v>
      </c>
      <c r="F48" s="77" t="s">
        <v>333</v>
      </c>
      <c r="G48" s="77" t="s">
        <v>333</v>
      </c>
      <c r="H48" s="77" t="s">
        <v>333</v>
      </c>
      <c r="I48" s="77" t="s">
        <v>333</v>
      </c>
      <c r="J48" s="77" t="s">
        <v>333</v>
      </c>
      <c r="K48" s="62"/>
      <c r="L48" s="62"/>
      <c r="M48" s="62"/>
      <c r="N48" s="62"/>
      <c r="O48" s="62"/>
      <c r="P48" s="62"/>
      <c r="Q48" s="62"/>
      <c r="R48" s="62"/>
      <c r="S48" s="61"/>
      <c r="T48" s="61"/>
      <c r="U48" s="61"/>
      <c r="V48" s="62"/>
      <c r="W48" s="62"/>
      <c r="X48" s="62"/>
      <c r="Y48" s="62"/>
      <c r="Z48" s="62"/>
      <c r="AA48" s="62"/>
      <c r="AB48" s="62"/>
      <c r="AC48" s="62"/>
      <c r="AD48" s="62"/>
      <c r="AE48" s="62"/>
      <c r="AF48" s="62"/>
      <c r="AG48" s="62"/>
      <c r="AH48" s="62"/>
      <c r="AI48" s="62"/>
      <c r="AJ48" s="62"/>
      <c r="AK48" s="62"/>
      <c r="AL48" s="62"/>
      <c r="AM48" s="62"/>
      <c r="AN48" s="62"/>
    </row>
    <row r="49" spans="1:40" x14ac:dyDescent="0.45">
      <c r="A49" s="61"/>
      <c r="B49" s="57" t="s">
        <v>932</v>
      </c>
      <c r="C49" s="57" t="s">
        <v>912</v>
      </c>
      <c r="D49" s="57" t="s">
        <v>913</v>
      </c>
      <c r="E49" s="57" t="s">
        <v>43</v>
      </c>
      <c r="F49" s="57" t="s">
        <v>914</v>
      </c>
      <c r="G49" s="57" t="s">
        <v>47</v>
      </c>
      <c r="H49" s="57" t="s">
        <v>123</v>
      </c>
      <c r="I49" s="57" t="s">
        <v>933</v>
      </c>
      <c r="J49" s="57" t="s">
        <v>934</v>
      </c>
      <c r="K49" s="61"/>
      <c r="L49" s="61"/>
      <c r="M49" s="61"/>
      <c r="N49" s="61"/>
      <c r="O49" s="61"/>
      <c r="P49" s="61"/>
      <c r="Q49" s="61"/>
      <c r="R49" s="61"/>
      <c r="S49" s="61"/>
      <c r="T49" s="61"/>
      <c r="U49" s="61"/>
      <c r="V49" s="62"/>
      <c r="W49" s="62"/>
      <c r="X49" s="62"/>
      <c r="Y49" s="62"/>
      <c r="Z49" s="62"/>
      <c r="AA49" s="62"/>
      <c r="AB49" s="62"/>
      <c r="AC49" s="62"/>
      <c r="AD49" s="62"/>
      <c r="AE49" s="62"/>
      <c r="AF49" s="62"/>
      <c r="AG49" s="62"/>
      <c r="AH49" s="62"/>
      <c r="AI49" s="62"/>
      <c r="AJ49" s="62"/>
      <c r="AK49" s="62"/>
      <c r="AL49" s="62"/>
      <c r="AM49" s="62"/>
      <c r="AN49" s="62"/>
    </row>
    <row r="50" spans="1:40" x14ac:dyDescent="0.45">
      <c r="A50" s="61"/>
      <c r="B50" s="57" t="s">
        <v>881</v>
      </c>
      <c r="C50" s="57">
        <v>0.2</v>
      </c>
      <c r="D50" s="57">
        <v>0.2</v>
      </c>
      <c r="E50" s="57">
        <v>0.2</v>
      </c>
      <c r="F50" s="57">
        <v>0.2</v>
      </c>
      <c r="G50" s="57">
        <v>0.2</v>
      </c>
      <c r="H50" s="57">
        <v>0.2</v>
      </c>
      <c r="I50" s="57">
        <v>0.2</v>
      </c>
      <c r="J50" s="57">
        <v>0.2</v>
      </c>
      <c r="K50" s="61"/>
      <c r="L50" s="61"/>
      <c r="M50" s="61"/>
      <c r="N50" s="61"/>
      <c r="O50" s="61"/>
      <c r="P50" s="61"/>
      <c r="Q50" s="61"/>
      <c r="R50" s="61"/>
      <c r="S50" s="61"/>
      <c r="T50" s="61"/>
      <c r="U50" s="61"/>
      <c r="V50" s="62"/>
      <c r="W50" s="62"/>
      <c r="X50" s="62"/>
      <c r="Y50" s="62"/>
      <c r="Z50" s="62"/>
      <c r="AA50" s="62"/>
      <c r="AB50" s="62"/>
      <c r="AC50" s="62"/>
      <c r="AD50" s="62"/>
      <c r="AE50" s="62"/>
      <c r="AF50" s="62"/>
      <c r="AG50" s="62"/>
      <c r="AH50" s="62"/>
      <c r="AI50" s="62"/>
      <c r="AJ50" s="62"/>
      <c r="AK50" s="62"/>
      <c r="AL50" s="62"/>
      <c r="AM50" s="62"/>
      <c r="AN50" s="62"/>
    </row>
    <row r="51" spans="1:40" x14ac:dyDescent="0.45">
      <c r="A51" s="61"/>
      <c r="B51" s="57" t="s">
        <v>884</v>
      </c>
      <c r="C51" s="57">
        <v>0.5</v>
      </c>
      <c r="D51" s="57">
        <v>0.5</v>
      </c>
      <c r="E51" s="57">
        <v>0.5</v>
      </c>
      <c r="F51" s="57">
        <v>0.5</v>
      </c>
      <c r="G51" s="57">
        <v>0.5</v>
      </c>
      <c r="H51" s="57">
        <v>0.5</v>
      </c>
      <c r="I51" s="57">
        <v>0.5</v>
      </c>
      <c r="J51" s="57">
        <v>0.5</v>
      </c>
      <c r="K51" s="61"/>
      <c r="L51" s="61"/>
      <c r="M51" s="61"/>
      <c r="N51" s="61"/>
      <c r="O51" s="61"/>
      <c r="P51" s="61"/>
      <c r="Q51" s="61"/>
      <c r="R51" s="61"/>
      <c r="S51" s="61"/>
      <c r="T51" s="61"/>
      <c r="U51" s="61"/>
      <c r="V51" s="62"/>
      <c r="W51" s="62"/>
      <c r="X51" s="62"/>
      <c r="Y51" s="62"/>
      <c r="Z51" s="62"/>
      <c r="AA51" s="62"/>
      <c r="AB51" s="62"/>
      <c r="AC51" s="62"/>
      <c r="AD51" s="62"/>
      <c r="AE51" s="62"/>
      <c r="AF51" s="62"/>
      <c r="AG51" s="62"/>
      <c r="AH51" s="62"/>
      <c r="AI51" s="62"/>
      <c r="AJ51" s="62"/>
      <c r="AK51" s="62"/>
      <c r="AL51" s="62"/>
      <c r="AM51" s="62"/>
      <c r="AN51" s="62"/>
    </row>
    <row r="52" spans="1:40" x14ac:dyDescent="0.45">
      <c r="A52" s="61"/>
      <c r="B52" s="57" t="s">
        <v>220</v>
      </c>
      <c r="C52" s="57">
        <v>100</v>
      </c>
      <c r="D52" s="57">
        <v>100</v>
      </c>
      <c r="E52" s="57">
        <v>100</v>
      </c>
      <c r="F52" s="57">
        <v>100</v>
      </c>
      <c r="G52" s="57">
        <v>100</v>
      </c>
      <c r="H52" s="57">
        <v>100</v>
      </c>
      <c r="I52" s="57">
        <v>100</v>
      </c>
      <c r="J52" s="57">
        <v>100</v>
      </c>
      <c r="K52" s="61"/>
      <c r="L52" s="61"/>
      <c r="M52" s="61"/>
      <c r="N52" s="61"/>
      <c r="O52" s="61"/>
      <c r="P52" s="61"/>
      <c r="Q52" s="61"/>
      <c r="R52" s="61"/>
      <c r="S52" s="61"/>
      <c r="T52" s="61"/>
      <c r="U52" s="61"/>
      <c r="V52" s="62"/>
      <c r="W52" s="62"/>
      <c r="X52" s="62"/>
      <c r="Y52" s="62"/>
      <c r="Z52" s="62"/>
      <c r="AA52" s="62"/>
      <c r="AB52" s="62"/>
      <c r="AC52" s="62"/>
      <c r="AD52" s="62"/>
      <c r="AE52" s="62"/>
      <c r="AF52" s="62"/>
      <c r="AG52" s="62"/>
      <c r="AH52" s="62"/>
      <c r="AI52" s="62"/>
      <c r="AJ52" s="62"/>
      <c r="AK52" s="62"/>
      <c r="AL52" s="62"/>
      <c r="AM52" s="62"/>
      <c r="AN52" s="62"/>
    </row>
    <row r="53" spans="1:40" x14ac:dyDescent="0.45">
      <c r="A53" s="62"/>
      <c r="B53" s="57" t="s">
        <v>14</v>
      </c>
      <c r="C53" s="57">
        <v>50</v>
      </c>
      <c r="D53" s="57">
        <v>50</v>
      </c>
      <c r="E53" s="57">
        <v>50</v>
      </c>
      <c r="F53" s="57">
        <v>50</v>
      </c>
      <c r="G53" s="57">
        <v>50</v>
      </c>
      <c r="H53" s="57">
        <v>50</v>
      </c>
      <c r="I53" s="57">
        <v>50</v>
      </c>
      <c r="J53" s="57">
        <v>50</v>
      </c>
      <c r="K53" s="62"/>
      <c r="L53" s="62"/>
      <c r="M53" s="62"/>
      <c r="N53" s="62"/>
      <c r="O53" s="62"/>
      <c r="P53" s="62"/>
      <c r="Q53" s="62"/>
      <c r="R53" s="61"/>
      <c r="S53" s="61"/>
      <c r="T53" s="61"/>
      <c r="U53" s="61"/>
      <c r="V53" s="62"/>
      <c r="W53" s="62"/>
      <c r="X53" s="62"/>
      <c r="Y53" s="62"/>
      <c r="Z53" s="62"/>
      <c r="AA53" s="62"/>
      <c r="AB53" s="62"/>
      <c r="AC53" s="62"/>
      <c r="AD53" s="62"/>
      <c r="AE53" s="62"/>
      <c r="AF53" s="62"/>
      <c r="AG53" s="62"/>
      <c r="AH53" s="62"/>
      <c r="AI53" s="62"/>
      <c r="AJ53" s="62"/>
      <c r="AK53" s="62"/>
      <c r="AL53" s="62"/>
      <c r="AM53" s="62"/>
      <c r="AN53" s="62"/>
    </row>
    <row r="54" spans="1:40" x14ac:dyDescent="0.45">
      <c r="A54" s="62"/>
      <c r="B54" s="57" t="s">
        <v>946</v>
      </c>
      <c r="C54" s="57">
        <v>16</v>
      </c>
      <c r="D54" s="57">
        <v>16</v>
      </c>
      <c r="E54" s="57">
        <v>16</v>
      </c>
      <c r="F54" s="57">
        <v>16</v>
      </c>
      <c r="G54" s="57">
        <v>16</v>
      </c>
      <c r="H54" s="132">
        <v>32</v>
      </c>
      <c r="I54" s="132">
        <v>16</v>
      </c>
      <c r="J54" s="57">
        <v>16</v>
      </c>
      <c r="K54" s="62"/>
      <c r="L54" s="62"/>
      <c r="M54" s="62"/>
      <c r="N54" s="62"/>
      <c r="O54" s="62"/>
      <c r="P54" s="62"/>
      <c r="Q54" s="62"/>
      <c r="R54" s="61"/>
      <c r="S54" s="61"/>
      <c r="T54" s="61"/>
      <c r="U54" s="61"/>
      <c r="V54" s="62"/>
      <c r="W54" s="62"/>
      <c r="X54" s="62"/>
      <c r="Y54" s="62"/>
      <c r="Z54" s="62"/>
      <c r="AA54" s="62"/>
      <c r="AB54" s="62"/>
      <c r="AC54" s="62"/>
      <c r="AD54" s="62"/>
      <c r="AE54" s="62"/>
      <c r="AF54" s="62"/>
      <c r="AG54" s="62"/>
      <c r="AH54" s="62"/>
      <c r="AI54" s="62"/>
      <c r="AJ54" s="62"/>
      <c r="AK54" s="62"/>
      <c r="AL54" s="62"/>
      <c r="AM54" s="62"/>
      <c r="AN54" s="62"/>
    </row>
    <row r="55" spans="1:40" x14ac:dyDescent="0.45">
      <c r="A55" s="62"/>
      <c r="B55" s="57" t="s">
        <v>947</v>
      </c>
      <c r="C55" s="57">
        <v>1</v>
      </c>
      <c r="D55" s="57">
        <v>1</v>
      </c>
      <c r="E55" s="57">
        <v>1</v>
      </c>
      <c r="F55" s="57">
        <v>1</v>
      </c>
      <c r="G55" s="57">
        <v>1</v>
      </c>
      <c r="H55" s="57">
        <v>1</v>
      </c>
      <c r="I55" s="132">
        <v>4</v>
      </c>
      <c r="J55" s="57">
        <v>4</v>
      </c>
      <c r="K55" s="62"/>
      <c r="L55" s="62"/>
      <c r="M55" s="62"/>
      <c r="N55" s="62"/>
      <c r="O55" s="62"/>
      <c r="P55" s="62"/>
      <c r="Q55" s="62"/>
      <c r="R55" s="61"/>
      <c r="S55" s="61"/>
      <c r="T55" s="61"/>
      <c r="U55" s="61"/>
      <c r="V55" s="62"/>
      <c r="W55" s="62"/>
      <c r="X55" s="62"/>
      <c r="Y55" s="62"/>
      <c r="Z55" s="62"/>
      <c r="AA55" s="62"/>
      <c r="AB55" s="62"/>
      <c r="AC55" s="62"/>
      <c r="AD55" s="62"/>
      <c r="AE55" s="62"/>
      <c r="AF55" s="62"/>
      <c r="AG55" s="62"/>
      <c r="AH55" s="62"/>
      <c r="AI55" s="62"/>
      <c r="AJ55" s="62"/>
      <c r="AK55" s="62"/>
      <c r="AL55" s="62"/>
      <c r="AM55" s="62"/>
      <c r="AN55" s="62"/>
    </row>
    <row r="56" spans="1:40" x14ac:dyDescent="0.45">
      <c r="A56" s="62"/>
      <c r="B56" s="57" t="s">
        <v>948</v>
      </c>
      <c r="C56" s="57">
        <v>10</v>
      </c>
      <c r="D56" s="57">
        <v>10</v>
      </c>
      <c r="E56" s="57">
        <v>10</v>
      </c>
      <c r="F56" s="57">
        <v>10</v>
      </c>
      <c r="G56" s="57">
        <v>10</v>
      </c>
      <c r="H56" s="57">
        <v>10</v>
      </c>
      <c r="I56" s="57">
        <v>10</v>
      </c>
      <c r="J56" s="57">
        <v>10</v>
      </c>
      <c r="K56" s="62"/>
      <c r="L56" s="62"/>
      <c r="M56" s="62"/>
      <c r="N56" s="62"/>
      <c r="O56" s="62"/>
      <c r="P56" s="62"/>
      <c r="Q56" s="62"/>
      <c r="R56" s="61"/>
      <c r="S56" s="61"/>
      <c r="T56" s="61"/>
      <c r="U56" s="61"/>
      <c r="V56" s="62"/>
      <c r="W56" s="62"/>
      <c r="X56" s="62"/>
      <c r="Y56" s="62"/>
      <c r="Z56" s="62"/>
      <c r="AA56" s="62"/>
      <c r="AB56" s="62"/>
      <c r="AC56" s="62"/>
      <c r="AD56" s="62"/>
      <c r="AE56" s="62"/>
      <c r="AF56" s="62"/>
      <c r="AG56" s="62"/>
      <c r="AH56" s="62"/>
      <c r="AI56" s="62"/>
      <c r="AJ56" s="62"/>
      <c r="AK56" s="62"/>
      <c r="AL56" s="62"/>
      <c r="AM56" s="62"/>
      <c r="AN56" s="62"/>
    </row>
    <row r="57" spans="1:40" x14ac:dyDescent="0.45">
      <c r="A57" s="62"/>
      <c r="B57" s="57" t="s">
        <v>898</v>
      </c>
      <c r="C57" s="57">
        <v>0</v>
      </c>
      <c r="D57" s="132">
        <v>0.25</v>
      </c>
      <c r="E57" s="57">
        <v>0.25</v>
      </c>
      <c r="F57" s="57">
        <v>0.25</v>
      </c>
      <c r="G57" s="132">
        <v>0</v>
      </c>
      <c r="H57" s="57">
        <v>0</v>
      </c>
      <c r="I57" s="57">
        <v>0</v>
      </c>
      <c r="J57" s="132">
        <v>0.25</v>
      </c>
      <c r="K57" s="62"/>
      <c r="L57" s="62"/>
      <c r="M57" s="62"/>
      <c r="N57" s="62"/>
      <c r="O57" s="62"/>
      <c r="P57" s="62"/>
      <c r="Q57" s="62"/>
      <c r="R57" s="61"/>
      <c r="S57" s="61"/>
      <c r="T57" s="61"/>
      <c r="U57" s="61"/>
      <c r="V57" s="62"/>
      <c r="W57" s="62"/>
      <c r="X57" s="62"/>
      <c r="Y57" s="62"/>
      <c r="Z57" s="62"/>
      <c r="AA57" s="62"/>
      <c r="AB57" s="62"/>
      <c r="AC57" s="62"/>
      <c r="AD57" s="62"/>
      <c r="AE57" s="62"/>
      <c r="AF57" s="62"/>
      <c r="AG57" s="62"/>
      <c r="AH57" s="62"/>
      <c r="AI57" s="62"/>
      <c r="AJ57" s="62"/>
      <c r="AK57" s="62"/>
      <c r="AL57" s="62"/>
      <c r="AM57" s="62"/>
      <c r="AN57" s="62"/>
    </row>
    <row r="58" spans="1:40" x14ac:dyDescent="0.45">
      <c r="A58" s="62"/>
      <c r="B58" s="57" t="s">
        <v>969</v>
      </c>
      <c r="C58" s="57">
        <v>0</v>
      </c>
      <c r="D58" s="57">
        <v>0</v>
      </c>
      <c r="E58" s="132">
        <v>-8.0000000000000002E-3</v>
      </c>
      <c r="F58" s="132">
        <v>8.0000000000000002E-3</v>
      </c>
      <c r="G58" s="57">
        <v>8.0000000000000002E-3</v>
      </c>
      <c r="H58" s="132">
        <v>4.0000000000000001E-3</v>
      </c>
      <c r="I58" s="132">
        <v>0</v>
      </c>
      <c r="J58" s="57">
        <v>0</v>
      </c>
      <c r="K58" s="62"/>
      <c r="L58" s="62"/>
      <c r="M58" s="62"/>
      <c r="N58" s="62"/>
      <c r="O58" s="62"/>
      <c r="P58" s="62"/>
      <c r="Q58" s="62"/>
      <c r="R58" s="61"/>
      <c r="S58" s="61"/>
      <c r="T58" s="61"/>
      <c r="U58" s="61"/>
      <c r="V58" s="62"/>
      <c r="W58" s="62"/>
      <c r="X58" s="62"/>
      <c r="Y58" s="62"/>
      <c r="Z58" s="62"/>
      <c r="AA58" s="62"/>
      <c r="AB58" s="62"/>
      <c r="AC58" s="62"/>
      <c r="AD58" s="62"/>
      <c r="AE58" s="62"/>
      <c r="AF58" s="62"/>
      <c r="AG58" s="62"/>
      <c r="AH58" s="62"/>
      <c r="AI58" s="62"/>
      <c r="AJ58" s="62"/>
      <c r="AK58" s="62"/>
      <c r="AL58" s="62"/>
      <c r="AM58" s="62"/>
      <c r="AN58" s="62"/>
    </row>
    <row r="59" spans="1:40" x14ac:dyDescent="0.45">
      <c r="A59" s="62"/>
      <c r="B59" s="57" t="s">
        <v>887</v>
      </c>
      <c r="C59" s="57">
        <v>256</v>
      </c>
      <c r="D59" s="57">
        <v>256</v>
      </c>
      <c r="E59" s="57">
        <v>256</v>
      </c>
      <c r="F59" s="57">
        <v>256</v>
      </c>
      <c r="G59" s="57">
        <v>256</v>
      </c>
      <c r="H59" s="57">
        <v>256</v>
      </c>
      <c r="I59" s="57">
        <v>256</v>
      </c>
      <c r="J59" s="57">
        <v>256</v>
      </c>
      <c r="K59" s="62"/>
      <c r="L59" s="62"/>
      <c r="M59" s="62"/>
      <c r="N59" s="62"/>
      <c r="O59" s="62"/>
      <c r="P59" s="62"/>
      <c r="Q59" s="62"/>
      <c r="R59" s="61"/>
      <c r="S59" s="61"/>
      <c r="T59" s="61"/>
      <c r="U59" s="61"/>
      <c r="V59" s="62"/>
      <c r="W59" s="62"/>
      <c r="X59" s="62"/>
      <c r="Y59" s="62"/>
      <c r="Z59" s="62"/>
      <c r="AA59" s="62"/>
      <c r="AB59" s="62"/>
      <c r="AC59" s="62"/>
      <c r="AD59" s="62"/>
      <c r="AE59" s="62"/>
      <c r="AF59" s="62"/>
      <c r="AG59" s="62"/>
      <c r="AH59" s="62"/>
      <c r="AI59" s="62"/>
      <c r="AJ59" s="62"/>
      <c r="AK59" s="62"/>
      <c r="AL59" s="62"/>
      <c r="AM59" s="62"/>
      <c r="AN59" s="62"/>
    </row>
    <row r="60" spans="1:40" x14ac:dyDescent="0.45">
      <c r="A60" s="62"/>
      <c r="B60" s="62"/>
      <c r="C60" s="62"/>
      <c r="D60" s="62"/>
      <c r="E60" s="62"/>
      <c r="F60" s="62"/>
      <c r="G60" s="62"/>
      <c r="H60" s="62"/>
      <c r="I60" s="62"/>
      <c r="J60" s="62"/>
      <c r="K60" s="62"/>
      <c r="L60" s="62"/>
      <c r="M60" s="62"/>
      <c r="N60" s="62"/>
      <c r="O60" s="62"/>
      <c r="P60" s="62"/>
      <c r="Q60" s="62"/>
      <c r="R60" s="61"/>
      <c r="S60" s="61"/>
      <c r="T60" s="61"/>
      <c r="U60" s="61"/>
      <c r="V60" s="62"/>
      <c r="W60" s="62"/>
      <c r="X60" s="62"/>
      <c r="Y60" s="62"/>
      <c r="Z60" s="62"/>
      <c r="AA60" s="62"/>
      <c r="AB60" s="62"/>
      <c r="AC60" s="62"/>
      <c r="AD60" s="62"/>
      <c r="AE60" s="62"/>
      <c r="AF60" s="62"/>
      <c r="AG60" s="62"/>
      <c r="AH60" s="62"/>
      <c r="AI60" s="62"/>
      <c r="AJ60" s="62"/>
      <c r="AK60" s="62"/>
      <c r="AL60" s="62"/>
      <c r="AM60" s="62"/>
      <c r="AN60" s="62"/>
    </row>
    <row r="61" spans="1:40" x14ac:dyDescent="0.45">
      <c r="A61" s="62"/>
      <c r="B61" s="134" t="s">
        <v>963</v>
      </c>
      <c r="C61" s="135"/>
      <c r="D61" s="135"/>
      <c r="E61" s="135"/>
      <c r="F61" s="135"/>
      <c r="G61" s="135"/>
      <c r="H61" s="135"/>
      <c r="I61" s="135"/>
      <c r="J61" s="136"/>
      <c r="K61" s="62"/>
      <c r="L61" s="62"/>
      <c r="M61" s="62"/>
      <c r="N61" s="62"/>
      <c r="O61" s="62"/>
      <c r="P61" s="62"/>
      <c r="Q61" s="62"/>
      <c r="R61" s="61"/>
      <c r="S61" s="61"/>
      <c r="T61" s="61"/>
      <c r="U61" s="61"/>
      <c r="V61" s="62"/>
      <c r="W61" s="62"/>
      <c r="X61" s="62"/>
      <c r="Y61" s="62"/>
      <c r="Z61" s="62"/>
      <c r="AA61" s="62"/>
      <c r="AB61" s="62"/>
      <c r="AC61" s="62"/>
      <c r="AD61" s="62"/>
      <c r="AE61" s="62"/>
      <c r="AF61" s="62"/>
      <c r="AG61" s="62"/>
      <c r="AH61" s="62"/>
      <c r="AI61" s="62"/>
      <c r="AJ61" s="62"/>
      <c r="AK61" s="62"/>
      <c r="AL61" s="62"/>
      <c r="AM61" s="62"/>
      <c r="AN61" s="62"/>
    </row>
    <row r="62" spans="1:40" x14ac:dyDescent="0.45">
      <c r="A62" s="62"/>
      <c r="B62" s="77" t="s">
        <v>332</v>
      </c>
      <c r="C62" s="77" t="s">
        <v>333</v>
      </c>
      <c r="D62" s="77" t="s">
        <v>333</v>
      </c>
      <c r="E62" s="77" t="s">
        <v>333</v>
      </c>
      <c r="F62" s="77" t="s">
        <v>333</v>
      </c>
      <c r="G62" s="77" t="s">
        <v>333</v>
      </c>
      <c r="H62" s="77" t="s">
        <v>333</v>
      </c>
      <c r="I62" s="77" t="s">
        <v>333</v>
      </c>
      <c r="J62" s="77" t="s">
        <v>333</v>
      </c>
      <c r="K62" s="62"/>
      <c r="L62" s="62"/>
      <c r="M62" s="62"/>
      <c r="N62" s="62"/>
      <c r="O62" s="62"/>
      <c r="P62" s="62"/>
      <c r="Q62" s="62"/>
      <c r="R62" s="61"/>
      <c r="S62" s="61"/>
      <c r="T62" s="61"/>
      <c r="U62" s="61"/>
      <c r="V62" s="62"/>
      <c r="W62" s="62"/>
      <c r="X62" s="62"/>
      <c r="Y62" s="62"/>
      <c r="Z62" s="62"/>
      <c r="AA62" s="62"/>
      <c r="AB62" s="62"/>
      <c r="AC62" s="62"/>
      <c r="AD62" s="62"/>
      <c r="AE62" s="62"/>
      <c r="AF62" s="62"/>
      <c r="AG62" s="62"/>
      <c r="AH62" s="62"/>
      <c r="AI62" s="62"/>
      <c r="AJ62" s="62"/>
      <c r="AK62" s="62"/>
      <c r="AL62" s="62"/>
      <c r="AM62" s="62"/>
      <c r="AN62" s="62"/>
    </row>
    <row r="63" spans="1:40" x14ac:dyDescent="0.45">
      <c r="A63" s="62"/>
      <c r="B63" s="57" t="s">
        <v>932</v>
      </c>
      <c r="C63" s="57" t="s">
        <v>935</v>
      </c>
      <c r="D63" s="57" t="s">
        <v>936</v>
      </c>
      <c r="E63" s="57" t="s">
        <v>937</v>
      </c>
      <c r="F63" s="57" t="s">
        <v>938</v>
      </c>
      <c r="G63" s="57" t="s">
        <v>939</v>
      </c>
      <c r="H63" s="57" t="s">
        <v>940</v>
      </c>
      <c r="I63" s="57" t="s">
        <v>941</v>
      </c>
      <c r="J63" s="57" t="s">
        <v>942</v>
      </c>
      <c r="K63" s="62"/>
      <c r="L63" s="62"/>
      <c r="M63" s="62"/>
      <c r="N63" s="62"/>
      <c r="O63" s="62"/>
      <c r="P63" s="62"/>
      <c r="Q63" s="62"/>
      <c r="R63" s="61"/>
      <c r="S63" s="61"/>
      <c r="T63" s="61"/>
      <c r="U63" s="61"/>
      <c r="V63" s="62"/>
      <c r="W63" s="62"/>
      <c r="X63" s="62"/>
      <c r="Y63" s="62"/>
      <c r="Z63" s="62"/>
      <c r="AA63" s="62"/>
      <c r="AB63" s="62"/>
      <c r="AC63" s="62"/>
      <c r="AD63" s="62"/>
      <c r="AE63" s="62"/>
      <c r="AF63" s="62"/>
      <c r="AG63" s="62"/>
      <c r="AH63" s="62"/>
      <c r="AI63" s="62"/>
      <c r="AJ63" s="62"/>
      <c r="AK63" s="62"/>
      <c r="AL63" s="62"/>
      <c r="AM63" s="62"/>
      <c r="AN63" s="62"/>
    </row>
    <row r="64" spans="1:40" x14ac:dyDescent="0.45">
      <c r="A64" s="62"/>
      <c r="B64" s="57" t="s">
        <v>881</v>
      </c>
      <c r="C64" s="57">
        <v>0.2</v>
      </c>
      <c r="D64" s="57">
        <v>0.2</v>
      </c>
      <c r="E64" s="57">
        <v>0.2</v>
      </c>
      <c r="F64" s="57">
        <v>0.2</v>
      </c>
      <c r="G64" s="57">
        <v>0.2</v>
      </c>
      <c r="H64" s="57">
        <v>0.2</v>
      </c>
      <c r="I64" s="57">
        <v>0.2</v>
      </c>
      <c r="J64" s="57">
        <v>0.2</v>
      </c>
      <c r="K64" s="62"/>
      <c r="L64" s="62"/>
      <c r="M64" s="62"/>
      <c r="N64" s="62"/>
      <c r="O64" s="62"/>
      <c r="P64" s="62"/>
      <c r="Q64" s="62"/>
      <c r="R64" s="61"/>
      <c r="S64" s="61"/>
      <c r="T64" s="61"/>
      <c r="U64" s="61"/>
      <c r="V64" s="62"/>
      <c r="W64" s="62"/>
      <c r="X64" s="62"/>
      <c r="Y64" s="62"/>
      <c r="Z64" s="62"/>
      <c r="AA64" s="62"/>
      <c r="AB64" s="62"/>
      <c r="AC64" s="62"/>
      <c r="AD64" s="62"/>
      <c r="AE64" s="62"/>
      <c r="AF64" s="62"/>
      <c r="AG64" s="62"/>
      <c r="AH64" s="62"/>
      <c r="AI64" s="62"/>
      <c r="AJ64" s="62"/>
      <c r="AK64" s="62"/>
      <c r="AL64" s="62"/>
      <c r="AM64" s="62"/>
      <c r="AN64" s="62"/>
    </row>
    <row r="65" spans="1:40" x14ac:dyDescent="0.45">
      <c r="A65" s="62"/>
      <c r="B65" s="57" t="s">
        <v>884</v>
      </c>
      <c r="C65" s="57">
        <v>0.5</v>
      </c>
      <c r="D65" s="57">
        <v>0.5</v>
      </c>
      <c r="E65" s="57">
        <v>0.5</v>
      </c>
      <c r="F65" s="57">
        <v>0.5</v>
      </c>
      <c r="G65" s="57">
        <v>0.5</v>
      </c>
      <c r="H65" s="57">
        <v>0.5</v>
      </c>
      <c r="I65" s="57">
        <v>0.5</v>
      </c>
      <c r="J65" s="57">
        <v>0.5</v>
      </c>
      <c r="K65" s="62"/>
      <c r="L65" s="62"/>
      <c r="M65" s="62"/>
      <c r="N65" s="62"/>
      <c r="O65" s="62"/>
      <c r="P65" s="62"/>
      <c r="Q65" s="62"/>
      <c r="R65" s="61"/>
      <c r="S65" s="61"/>
      <c r="T65" s="61"/>
      <c r="U65" s="61"/>
      <c r="V65" s="62"/>
      <c r="W65" s="62"/>
      <c r="X65" s="62"/>
      <c r="Y65" s="62"/>
      <c r="Z65" s="62"/>
      <c r="AA65" s="62"/>
      <c r="AB65" s="62"/>
      <c r="AC65" s="62"/>
      <c r="AD65" s="62"/>
      <c r="AE65" s="62"/>
      <c r="AF65" s="62"/>
      <c r="AG65" s="62"/>
      <c r="AH65" s="62"/>
      <c r="AI65" s="62"/>
      <c r="AJ65" s="62"/>
      <c r="AK65" s="62"/>
      <c r="AL65" s="62"/>
      <c r="AM65" s="62"/>
      <c r="AN65" s="62"/>
    </row>
    <row r="66" spans="1:40" x14ac:dyDescent="0.45">
      <c r="A66" s="62"/>
      <c r="B66" s="57" t="s">
        <v>220</v>
      </c>
      <c r="C66" s="57">
        <v>100</v>
      </c>
      <c r="D66" s="57">
        <v>100</v>
      </c>
      <c r="E66" s="57">
        <v>100</v>
      </c>
      <c r="F66" s="57">
        <v>100</v>
      </c>
      <c r="G66" s="57">
        <v>100</v>
      </c>
      <c r="H66" s="132">
        <v>200</v>
      </c>
      <c r="I66" s="57">
        <v>200</v>
      </c>
      <c r="J66" s="57">
        <v>200</v>
      </c>
      <c r="K66" s="61"/>
      <c r="L66" s="62"/>
      <c r="M66" s="62"/>
      <c r="N66" s="62"/>
      <c r="O66" s="62"/>
      <c r="P66" s="62"/>
      <c r="Q66" s="62"/>
      <c r="R66" s="61"/>
      <c r="S66" s="61"/>
      <c r="T66" s="61"/>
      <c r="U66" s="61"/>
      <c r="V66" s="62"/>
      <c r="W66" s="62"/>
      <c r="X66" s="62"/>
      <c r="Y66" s="62"/>
      <c r="Z66" s="62"/>
      <c r="AA66" s="62"/>
      <c r="AB66" s="62"/>
      <c r="AC66" s="62"/>
      <c r="AD66" s="62"/>
      <c r="AE66" s="62"/>
      <c r="AF66" s="62"/>
      <c r="AG66" s="62"/>
      <c r="AH66" s="62"/>
      <c r="AI66" s="62"/>
      <c r="AJ66" s="62"/>
      <c r="AK66" s="62"/>
      <c r="AL66" s="62"/>
      <c r="AM66" s="62"/>
      <c r="AN66" s="62"/>
    </row>
    <row r="67" spans="1:40" x14ac:dyDescent="0.45">
      <c r="A67" s="62"/>
      <c r="B67" s="57" t="s">
        <v>14</v>
      </c>
      <c r="C67" s="57">
        <v>50</v>
      </c>
      <c r="D67" s="57">
        <v>50</v>
      </c>
      <c r="E67" s="57">
        <v>50</v>
      </c>
      <c r="F67" s="132">
        <v>25</v>
      </c>
      <c r="G67" s="57">
        <v>25</v>
      </c>
      <c r="H67" s="57">
        <v>25</v>
      </c>
      <c r="I67" s="57">
        <v>25</v>
      </c>
      <c r="J67" s="57">
        <v>25</v>
      </c>
      <c r="K67" s="61"/>
      <c r="L67" s="62"/>
      <c r="M67" s="62"/>
      <c r="N67" s="62"/>
      <c r="O67" s="62"/>
      <c r="P67" s="62"/>
      <c r="Q67" s="62"/>
      <c r="R67" s="61"/>
      <c r="S67" s="61"/>
      <c r="T67" s="61"/>
      <c r="U67" s="61"/>
      <c r="V67" s="62"/>
      <c r="W67" s="62"/>
      <c r="X67" s="62"/>
      <c r="Y67" s="62"/>
      <c r="Z67" s="62"/>
      <c r="AA67" s="62"/>
      <c r="AB67" s="62"/>
      <c r="AC67" s="62"/>
      <c r="AD67" s="62"/>
      <c r="AE67" s="62"/>
      <c r="AF67" s="62"/>
      <c r="AG67" s="62"/>
      <c r="AH67" s="62"/>
      <c r="AI67" s="62"/>
      <c r="AJ67" s="62"/>
      <c r="AK67" s="62"/>
      <c r="AL67" s="62"/>
      <c r="AM67" s="62"/>
      <c r="AN67" s="62"/>
    </row>
    <row r="68" spans="1:40" x14ac:dyDescent="0.45">
      <c r="A68" s="62"/>
      <c r="B68" s="57" t="s">
        <v>946</v>
      </c>
      <c r="C68" s="57">
        <v>16</v>
      </c>
      <c r="D68" s="132">
        <v>2</v>
      </c>
      <c r="E68" s="57">
        <v>2</v>
      </c>
      <c r="F68" s="57">
        <v>2</v>
      </c>
      <c r="G68" s="57">
        <v>2</v>
      </c>
      <c r="H68" s="132">
        <v>4</v>
      </c>
      <c r="I68" s="132">
        <v>16</v>
      </c>
      <c r="J68" s="57">
        <v>16</v>
      </c>
      <c r="K68" s="61"/>
      <c r="L68" s="62"/>
      <c r="M68" s="62"/>
      <c r="N68" s="62"/>
      <c r="O68" s="62"/>
      <c r="P68" s="62"/>
      <c r="Q68" s="62"/>
      <c r="R68" s="61"/>
      <c r="S68" s="61"/>
      <c r="T68" s="61"/>
      <c r="U68" s="61"/>
      <c r="V68" s="62"/>
      <c r="W68" s="62"/>
      <c r="X68" s="62"/>
      <c r="Y68" s="62"/>
      <c r="Z68" s="62"/>
      <c r="AA68" s="62"/>
      <c r="AB68" s="62"/>
      <c r="AC68" s="62"/>
      <c r="AD68" s="62"/>
      <c r="AE68" s="62"/>
      <c r="AF68" s="62"/>
      <c r="AG68" s="62"/>
      <c r="AH68" s="62"/>
      <c r="AI68" s="62"/>
      <c r="AJ68" s="62"/>
      <c r="AK68" s="62"/>
      <c r="AL68" s="62"/>
      <c r="AM68" s="62"/>
      <c r="AN68" s="62"/>
    </row>
    <row r="69" spans="1:40" x14ac:dyDescent="0.45">
      <c r="A69" s="62"/>
      <c r="B69" s="57" t="s">
        <v>947</v>
      </c>
      <c r="C69" s="57">
        <v>4</v>
      </c>
      <c r="D69" s="132">
        <v>1</v>
      </c>
      <c r="E69" s="57">
        <v>1</v>
      </c>
      <c r="F69" s="57">
        <v>1</v>
      </c>
      <c r="G69" s="57">
        <v>1</v>
      </c>
      <c r="H69" s="57">
        <v>1</v>
      </c>
      <c r="I69" s="57">
        <v>1</v>
      </c>
      <c r="J69" s="57">
        <v>1</v>
      </c>
      <c r="K69" s="61"/>
      <c r="L69" s="62"/>
      <c r="M69" s="62"/>
      <c r="N69" s="62"/>
      <c r="O69" s="62"/>
      <c r="P69" s="62"/>
      <c r="Q69" s="62"/>
      <c r="R69" s="61"/>
      <c r="S69" s="61"/>
      <c r="T69" s="61"/>
      <c r="U69" s="61"/>
      <c r="V69" s="62"/>
      <c r="W69" s="62"/>
      <c r="X69" s="62"/>
      <c r="Y69" s="62"/>
      <c r="Z69" s="62"/>
      <c r="AA69" s="62"/>
      <c r="AB69" s="62"/>
      <c r="AC69" s="62"/>
      <c r="AD69" s="62"/>
      <c r="AE69" s="62"/>
      <c r="AF69" s="62"/>
      <c r="AG69" s="62"/>
      <c r="AH69" s="62"/>
      <c r="AI69" s="62"/>
      <c r="AJ69" s="62"/>
      <c r="AK69" s="62"/>
      <c r="AL69" s="62"/>
      <c r="AM69" s="62"/>
      <c r="AN69" s="62"/>
    </row>
    <row r="70" spans="1:40" x14ac:dyDescent="0.45">
      <c r="A70" s="62"/>
      <c r="B70" s="57" t="s">
        <v>948</v>
      </c>
      <c r="C70" s="57">
        <v>10</v>
      </c>
      <c r="D70" s="132">
        <v>25</v>
      </c>
      <c r="E70" s="57">
        <v>25</v>
      </c>
      <c r="F70" s="57">
        <v>25</v>
      </c>
      <c r="G70" s="132">
        <v>-25</v>
      </c>
      <c r="H70" s="57">
        <v>-25</v>
      </c>
      <c r="I70" s="132">
        <v>10</v>
      </c>
      <c r="J70" s="57">
        <v>10</v>
      </c>
      <c r="K70" s="61"/>
      <c r="L70" s="61"/>
      <c r="M70" s="61"/>
      <c r="N70" s="61"/>
      <c r="O70" s="61"/>
      <c r="P70" s="61"/>
      <c r="Q70" s="61"/>
      <c r="R70" s="61"/>
      <c r="S70" s="61"/>
      <c r="T70" s="61"/>
      <c r="U70" s="61"/>
      <c r="V70" s="62"/>
      <c r="W70" s="62"/>
      <c r="X70" s="62"/>
      <c r="Y70" s="62"/>
      <c r="Z70" s="62"/>
      <c r="AA70" s="62"/>
      <c r="AB70" s="62"/>
      <c r="AC70" s="62"/>
      <c r="AD70" s="62"/>
      <c r="AE70" s="62"/>
      <c r="AF70" s="62"/>
      <c r="AG70" s="62"/>
      <c r="AH70" s="62"/>
      <c r="AI70" s="62"/>
      <c r="AJ70" s="62"/>
      <c r="AK70" s="62"/>
      <c r="AL70" s="62"/>
      <c r="AM70" s="62"/>
      <c r="AN70" s="62"/>
    </row>
    <row r="71" spans="1:40" x14ac:dyDescent="0.45">
      <c r="A71" s="62"/>
      <c r="B71" s="57" t="s">
        <v>898</v>
      </c>
      <c r="C71" s="132">
        <v>0</v>
      </c>
      <c r="D71" s="132">
        <v>1</v>
      </c>
      <c r="E71" s="57">
        <v>1</v>
      </c>
      <c r="F71" s="57">
        <v>1</v>
      </c>
      <c r="G71" s="57">
        <v>1</v>
      </c>
      <c r="H71" s="57">
        <v>1</v>
      </c>
      <c r="I71" s="57">
        <v>1</v>
      </c>
      <c r="J71" s="57">
        <v>1</v>
      </c>
      <c r="K71" s="61"/>
      <c r="L71" s="61"/>
      <c r="M71" s="61"/>
      <c r="N71" s="61"/>
      <c r="O71" s="61"/>
      <c r="P71" s="61"/>
      <c r="Q71" s="61"/>
      <c r="R71" s="61"/>
      <c r="S71" s="61"/>
      <c r="T71" s="61"/>
      <c r="U71" s="61"/>
      <c r="V71" s="62"/>
      <c r="W71" s="62"/>
      <c r="X71" s="62"/>
      <c r="Y71" s="62"/>
      <c r="Z71" s="62"/>
      <c r="AA71" s="62"/>
      <c r="AB71" s="62"/>
      <c r="AC71" s="62"/>
      <c r="AD71" s="62"/>
      <c r="AE71" s="62"/>
      <c r="AF71" s="62"/>
      <c r="AG71" s="62"/>
      <c r="AH71" s="62"/>
      <c r="AI71" s="62"/>
      <c r="AJ71" s="62"/>
      <c r="AK71" s="62"/>
      <c r="AL71" s="62"/>
      <c r="AM71" s="62"/>
      <c r="AN71" s="62"/>
    </row>
    <row r="72" spans="1:40" x14ac:dyDescent="0.45">
      <c r="A72" s="62"/>
      <c r="B72" s="57" t="s">
        <v>969</v>
      </c>
      <c r="C72" s="132">
        <v>8.0000000000000002E-3</v>
      </c>
      <c r="D72" s="132">
        <v>0</v>
      </c>
      <c r="E72" s="132">
        <v>0.08</v>
      </c>
      <c r="F72" s="57">
        <v>0.08</v>
      </c>
      <c r="G72" s="132">
        <v>-0.08</v>
      </c>
      <c r="H72" s="132">
        <v>0</v>
      </c>
      <c r="I72" s="132">
        <v>-5.0000000000000001E-3</v>
      </c>
      <c r="J72" s="57">
        <v>-5.0000000000000001E-3</v>
      </c>
      <c r="K72" s="61"/>
      <c r="L72" s="61"/>
      <c r="M72" s="61"/>
      <c r="N72" s="61"/>
      <c r="O72" s="61"/>
      <c r="P72" s="61"/>
      <c r="Q72" s="61"/>
      <c r="R72" s="61"/>
      <c r="S72" s="61"/>
      <c r="T72" s="61"/>
      <c r="U72" s="61"/>
      <c r="V72" s="62"/>
      <c r="W72" s="62"/>
      <c r="X72" s="62"/>
      <c r="Y72" s="62"/>
      <c r="Z72" s="62"/>
      <c r="AA72" s="62"/>
      <c r="AB72" s="62"/>
      <c r="AC72" s="62"/>
      <c r="AD72" s="62"/>
      <c r="AE72" s="62"/>
      <c r="AF72" s="62"/>
      <c r="AG72" s="62"/>
      <c r="AH72" s="62"/>
      <c r="AI72" s="62"/>
      <c r="AJ72" s="62"/>
      <c r="AK72" s="62"/>
      <c r="AL72" s="62"/>
      <c r="AM72" s="62"/>
      <c r="AN72" s="62"/>
    </row>
    <row r="73" spans="1:40" x14ac:dyDescent="0.45">
      <c r="A73" s="62"/>
      <c r="B73" s="57" t="s">
        <v>887</v>
      </c>
      <c r="C73" s="57">
        <v>256</v>
      </c>
      <c r="D73" s="57">
        <v>256</v>
      </c>
      <c r="E73" s="57">
        <v>256</v>
      </c>
      <c r="F73" s="57">
        <v>256</v>
      </c>
      <c r="G73" s="57">
        <v>256</v>
      </c>
      <c r="H73" s="57">
        <v>256</v>
      </c>
      <c r="I73" s="57">
        <v>256</v>
      </c>
      <c r="J73" s="132">
        <v>4</v>
      </c>
      <c r="K73" s="61"/>
      <c r="L73" s="61"/>
      <c r="M73" s="61"/>
      <c r="N73" s="61"/>
      <c r="O73" s="61"/>
      <c r="P73" s="61"/>
      <c r="Q73" s="61"/>
      <c r="R73" s="61"/>
      <c r="S73" s="61"/>
      <c r="T73" s="61"/>
      <c r="U73" s="61"/>
      <c r="V73" s="62"/>
      <c r="W73" s="62"/>
      <c r="X73" s="62"/>
      <c r="Y73" s="62"/>
      <c r="Z73" s="62"/>
      <c r="AA73" s="62"/>
      <c r="AB73" s="62"/>
      <c r="AC73" s="62"/>
      <c r="AD73" s="62"/>
      <c r="AE73" s="62"/>
      <c r="AF73" s="62"/>
      <c r="AG73" s="62"/>
      <c r="AH73" s="62"/>
      <c r="AI73" s="62"/>
      <c r="AJ73" s="62"/>
      <c r="AK73" s="62"/>
      <c r="AL73" s="62"/>
      <c r="AM73" s="62"/>
      <c r="AN73" s="62"/>
    </row>
    <row r="74" spans="1:40" x14ac:dyDescent="0.45">
      <c r="A74" s="62"/>
      <c r="B74" s="62"/>
      <c r="C74" s="62"/>
      <c r="D74" s="62"/>
      <c r="E74" s="62"/>
      <c r="F74" s="62"/>
      <c r="G74" s="62"/>
      <c r="H74" s="62"/>
      <c r="I74" s="62"/>
      <c r="J74" s="61"/>
      <c r="K74" s="61"/>
      <c r="L74" s="61"/>
      <c r="M74" s="61"/>
      <c r="N74" s="61"/>
      <c r="O74" s="61"/>
      <c r="P74" s="61"/>
      <c r="Q74" s="61"/>
      <c r="R74" s="61"/>
      <c r="S74" s="61"/>
      <c r="T74" s="61"/>
      <c r="U74" s="61"/>
      <c r="V74" s="62"/>
      <c r="W74" s="62"/>
      <c r="X74" s="62"/>
      <c r="Y74" s="62"/>
      <c r="Z74" s="62"/>
      <c r="AA74" s="62"/>
      <c r="AB74" s="62"/>
      <c r="AC74" s="62"/>
      <c r="AD74" s="62"/>
      <c r="AE74" s="62"/>
      <c r="AF74" s="62"/>
      <c r="AG74" s="62"/>
      <c r="AH74" s="62"/>
      <c r="AI74" s="62"/>
      <c r="AJ74" s="62"/>
      <c r="AK74" s="62"/>
      <c r="AL74" s="62"/>
      <c r="AM74" s="62"/>
      <c r="AN74" s="62"/>
    </row>
    <row r="75" spans="1:40" x14ac:dyDescent="0.45">
      <c r="A75" s="62"/>
      <c r="B75" s="62"/>
      <c r="C75" s="62"/>
      <c r="D75" s="62"/>
      <c r="E75" s="62"/>
      <c r="F75" s="62"/>
      <c r="G75" s="62"/>
      <c r="H75" s="62"/>
      <c r="I75" s="62"/>
      <c r="J75" s="61"/>
      <c r="K75" s="61"/>
      <c r="L75" s="61"/>
      <c r="M75" s="61"/>
      <c r="N75" s="61"/>
      <c r="O75" s="61"/>
      <c r="P75" s="61"/>
      <c r="Q75" s="61"/>
      <c r="R75" s="61"/>
      <c r="S75" s="61"/>
      <c r="T75" s="61"/>
      <c r="U75" s="61"/>
      <c r="V75" s="62"/>
      <c r="W75" s="62"/>
      <c r="X75" s="62"/>
      <c r="Y75" s="62"/>
      <c r="Z75" s="62"/>
      <c r="AA75" s="62"/>
      <c r="AB75" s="62"/>
      <c r="AC75" s="62"/>
      <c r="AD75" s="62"/>
      <c r="AE75" s="62"/>
      <c r="AF75" s="62"/>
      <c r="AG75" s="62"/>
      <c r="AH75" s="62"/>
      <c r="AI75" s="62"/>
      <c r="AJ75" s="62"/>
      <c r="AK75" s="62"/>
      <c r="AL75" s="62"/>
      <c r="AM75" s="62"/>
      <c r="AN75" s="62"/>
    </row>
    <row r="76" spans="1:40" x14ac:dyDescent="0.45">
      <c r="A76" s="62"/>
      <c r="B76" s="62"/>
      <c r="C76" s="62"/>
      <c r="D76" s="62"/>
      <c r="E76" s="62"/>
      <c r="F76" s="62"/>
      <c r="G76" s="62"/>
      <c r="H76" s="62"/>
      <c r="I76" s="62"/>
      <c r="J76" s="61"/>
      <c r="K76" s="61"/>
      <c r="L76" s="61"/>
      <c r="M76" s="61"/>
      <c r="N76" s="61"/>
      <c r="O76" s="61"/>
      <c r="P76" s="61"/>
      <c r="Q76" s="61"/>
      <c r="R76" s="61"/>
      <c r="S76" s="61"/>
      <c r="T76" s="61"/>
      <c r="U76" s="61"/>
      <c r="V76" s="62"/>
      <c r="W76" s="62"/>
      <c r="X76" s="62"/>
      <c r="Y76" s="62"/>
      <c r="Z76" s="62"/>
      <c r="AA76" s="62"/>
      <c r="AB76" s="62"/>
      <c r="AC76" s="62"/>
      <c r="AD76" s="62"/>
      <c r="AE76" s="62"/>
      <c r="AF76" s="62"/>
      <c r="AG76" s="62"/>
      <c r="AH76" s="62"/>
      <c r="AI76" s="62"/>
      <c r="AJ76" s="62"/>
      <c r="AK76" s="62"/>
      <c r="AL76" s="62"/>
      <c r="AM76" s="62"/>
      <c r="AN76" s="62"/>
    </row>
    <row r="77" spans="1:40" x14ac:dyDescent="0.45">
      <c r="A77" s="62"/>
      <c r="B77" s="62"/>
      <c r="C77" s="62"/>
      <c r="D77" s="62"/>
      <c r="E77" s="62"/>
      <c r="F77" s="62"/>
      <c r="G77" s="62"/>
      <c r="H77" s="62"/>
      <c r="I77" s="62"/>
      <c r="J77" s="61"/>
      <c r="K77" s="61"/>
      <c r="L77" s="61"/>
      <c r="M77" s="61"/>
      <c r="N77" s="61"/>
      <c r="O77" s="61"/>
      <c r="P77" s="61"/>
      <c r="Q77" s="61"/>
      <c r="R77" s="61"/>
      <c r="S77" s="61"/>
      <c r="T77" s="61"/>
      <c r="U77" s="61"/>
      <c r="V77" s="62"/>
      <c r="W77" s="62"/>
      <c r="X77" s="62"/>
      <c r="Y77" s="62"/>
      <c r="Z77" s="62"/>
      <c r="AA77" s="62"/>
      <c r="AB77" s="62"/>
      <c r="AC77" s="62"/>
      <c r="AD77" s="62"/>
      <c r="AE77" s="62"/>
      <c r="AF77" s="62"/>
      <c r="AG77" s="62"/>
      <c r="AH77" s="62"/>
      <c r="AI77" s="62"/>
      <c r="AJ77" s="62"/>
      <c r="AK77" s="62"/>
      <c r="AL77" s="62"/>
      <c r="AM77" s="62"/>
      <c r="AN77" s="62"/>
    </row>
    <row r="78" spans="1:40" x14ac:dyDescent="0.45">
      <c r="A78" s="62"/>
      <c r="B78" s="62"/>
      <c r="C78" s="62"/>
      <c r="D78" s="62"/>
      <c r="E78" s="62"/>
      <c r="F78" s="62"/>
      <c r="G78" s="62"/>
      <c r="H78" s="62"/>
      <c r="I78" s="62"/>
      <c r="J78" s="61"/>
      <c r="K78" s="61"/>
      <c r="L78" s="61"/>
      <c r="M78" s="61"/>
      <c r="N78" s="61"/>
      <c r="O78" s="61"/>
      <c r="P78" s="61"/>
      <c r="Q78" s="61"/>
      <c r="R78" s="61"/>
      <c r="S78" s="61"/>
      <c r="T78" s="61"/>
      <c r="U78" s="61"/>
      <c r="V78" s="62"/>
      <c r="W78" s="62"/>
      <c r="X78" s="62"/>
      <c r="Y78" s="62"/>
      <c r="Z78" s="62"/>
      <c r="AA78" s="62"/>
      <c r="AB78" s="62"/>
      <c r="AC78" s="62"/>
      <c r="AD78" s="62"/>
      <c r="AE78" s="62"/>
      <c r="AF78" s="62"/>
      <c r="AG78" s="62"/>
      <c r="AH78" s="62"/>
      <c r="AI78" s="62"/>
      <c r="AJ78" s="62"/>
      <c r="AK78" s="62"/>
      <c r="AL78" s="62"/>
      <c r="AM78" s="62"/>
      <c r="AN78" s="62"/>
    </row>
    <row r="79" spans="1:40" x14ac:dyDescent="0.45">
      <c r="A79" s="62"/>
      <c r="B79" s="62"/>
      <c r="C79" s="62"/>
      <c r="D79" s="62"/>
      <c r="E79" s="62"/>
      <c r="F79" s="62"/>
      <c r="G79" s="62"/>
      <c r="H79" s="62"/>
      <c r="I79" s="62"/>
      <c r="J79" s="61"/>
      <c r="K79" s="61"/>
      <c r="L79" s="61"/>
      <c r="M79" s="61"/>
      <c r="N79" s="61"/>
      <c r="O79" s="61"/>
      <c r="P79" s="61"/>
      <c r="Q79" s="61"/>
      <c r="R79" s="61"/>
      <c r="S79" s="61"/>
      <c r="T79" s="61"/>
      <c r="U79" s="61"/>
      <c r="V79" s="62"/>
      <c r="W79" s="62"/>
      <c r="X79" s="62"/>
      <c r="Y79" s="62"/>
      <c r="Z79" s="62"/>
      <c r="AA79" s="62"/>
      <c r="AB79" s="62"/>
      <c r="AC79" s="62"/>
      <c r="AD79" s="62"/>
      <c r="AE79" s="62"/>
      <c r="AF79" s="62"/>
      <c r="AG79" s="62"/>
      <c r="AH79" s="62"/>
      <c r="AI79" s="62"/>
      <c r="AJ79" s="62"/>
      <c r="AK79" s="62"/>
      <c r="AL79" s="62"/>
      <c r="AM79" s="62"/>
      <c r="AN79" s="62"/>
    </row>
    <row r="80" spans="1:40" x14ac:dyDescent="0.45">
      <c r="A80" s="61"/>
      <c r="B80" s="61"/>
      <c r="C80" s="61"/>
      <c r="D80" s="61"/>
      <c r="E80" s="61"/>
      <c r="F80" s="61"/>
      <c r="G80" s="61"/>
      <c r="H80" s="61"/>
      <c r="I80" s="61"/>
      <c r="J80" s="61"/>
      <c r="K80" s="61"/>
      <c r="L80" s="61"/>
      <c r="M80" s="61"/>
      <c r="N80" s="61"/>
      <c r="O80" s="61"/>
      <c r="P80" s="61"/>
      <c r="Q80" s="61"/>
      <c r="R80" s="61"/>
      <c r="S80" s="61"/>
      <c r="T80" s="61"/>
      <c r="U80" s="61"/>
      <c r="V80" s="62"/>
      <c r="W80" s="62"/>
      <c r="X80" s="62"/>
      <c r="Y80" s="62"/>
      <c r="Z80" s="62"/>
      <c r="AA80" s="62"/>
      <c r="AB80" s="62"/>
      <c r="AC80" s="62"/>
      <c r="AD80" s="62"/>
      <c r="AE80" s="62"/>
      <c r="AF80" s="62"/>
      <c r="AG80" s="62"/>
      <c r="AH80" s="62"/>
      <c r="AI80" s="62"/>
      <c r="AJ80" s="62"/>
      <c r="AK80" s="62"/>
      <c r="AL80" s="62"/>
      <c r="AM80" s="62"/>
      <c r="AN80" s="62"/>
    </row>
    <row r="81" spans="1:40" x14ac:dyDescent="0.45">
      <c r="A81" s="61"/>
      <c r="B81" s="61"/>
      <c r="C81" s="61"/>
      <c r="D81" s="61"/>
      <c r="E81" s="61"/>
      <c r="F81" s="61"/>
      <c r="G81" s="61"/>
      <c r="H81" s="61"/>
      <c r="I81" s="61"/>
      <c r="J81" s="61"/>
      <c r="K81" s="61"/>
      <c r="L81" s="61"/>
      <c r="M81" s="61"/>
      <c r="N81" s="61"/>
      <c r="O81" s="61"/>
      <c r="P81" s="61"/>
      <c r="Q81" s="61"/>
      <c r="R81" s="61"/>
      <c r="S81" s="61"/>
      <c r="T81" s="61"/>
      <c r="U81" s="61"/>
      <c r="V81" s="62"/>
      <c r="W81" s="62"/>
      <c r="X81" s="62"/>
      <c r="Y81" s="62"/>
      <c r="Z81" s="62"/>
      <c r="AA81" s="62"/>
      <c r="AB81" s="62"/>
      <c r="AC81" s="62"/>
      <c r="AD81" s="62"/>
      <c r="AE81" s="62"/>
      <c r="AF81" s="62"/>
      <c r="AG81" s="62"/>
      <c r="AH81" s="62"/>
      <c r="AI81" s="62"/>
      <c r="AJ81" s="62"/>
      <c r="AK81" s="62"/>
      <c r="AL81" s="62"/>
      <c r="AM81" s="62"/>
      <c r="AN81" s="62"/>
    </row>
    <row r="82" spans="1:40" x14ac:dyDescent="0.45">
      <c r="A82" s="61"/>
      <c r="B82" s="61"/>
      <c r="C82" s="61"/>
      <c r="D82" s="61"/>
      <c r="E82" s="61"/>
      <c r="F82" s="61"/>
      <c r="G82" s="61"/>
      <c r="H82" s="61"/>
      <c r="I82" s="61"/>
      <c r="J82" s="61"/>
      <c r="K82" s="61"/>
      <c r="L82" s="61"/>
      <c r="M82" s="61"/>
      <c r="N82" s="61"/>
      <c r="O82" s="61"/>
      <c r="P82" s="61"/>
      <c r="Q82" s="61"/>
      <c r="R82" s="61"/>
      <c r="S82" s="61"/>
      <c r="T82" s="61"/>
      <c r="U82" s="61"/>
      <c r="V82" s="62"/>
      <c r="W82" s="62"/>
      <c r="X82" s="62"/>
      <c r="Y82" s="62"/>
      <c r="Z82" s="62"/>
      <c r="AA82" s="62"/>
      <c r="AB82" s="62"/>
      <c r="AC82" s="62"/>
      <c r="AD82" s="62"/>
      <c r="AE82" s="62"/>
      <c r="AF82" s="62"/>
      <c r="AG82" s="62"/>
      <c r="AH82" s="62"/>
      <c r="AI82" s="62"/>
      <c r="AJ82" s="62"/>
      <c r="AK82" s="62"/>
      <c r="AL82" s="62"/>
      <c r="AM82" s="62"/>
      <c r="AN82" s="62"/>
    </row>
    <row r="83" spans="1:40" x14ac:dyDescent="0.45">
      <c r="A83" s="61"/>
      <c r="B83" s="61"/>
      <c r="C83" s="61"/>
      <c r="D83" s="61"/>
      <c r="E83" s="61"/>
      <c r="F83" s="61"/>
      <c r="G83" s="61"/>
      <c r="H83" s="61"/>
      <c r="I83" s="61"/>
      <c r="J83" s="61"/>
      <c r="K83" s="61"/>
      <c r="L83" s="61"/>
      <c r="M83" s="61"/>
      <c r="N83" s="61"/>
      <c r="O83" s="61"/>
      <c r="P83" s="61"/>
      <c r="Q83" s="61"/>
      <c r="R83" s="61"/>
      <c r="S83" s="61"/>
      <c r="T83" s="61"/>
      <c r="U83" s="61"/>
      <c r="V83" s="62"/>
      <c r="W83" s="62"/>
      <c r="X83" s="62"/>
      <c r="Y83" s="62"/>
      <c r="Z83" s="62"/>
      <c r="AA83" s="62"/>
      <c r="AB83" s="62"/>
      <c r="AC83" s="62"/>
      <c r="AD83" s="62"/>
      <c r="AE83" s="62"/>
      <c r="AF83" s="62"/>
      <c r="AG83" s="62"/>
      <c r="AH83" s="62"/>
      <c r="AI83" s="62"/>
      <c r="AJ83" s="62"/>
      <c r="AK83" s="62"/>
      <c r="AL83" s="62"/>
      <c r="AM83" s="62"/>
      <c r="AN83" s="62"/>
    </row>
    <row r="84" spans="1:40" x14ac:dyDescent="0.45">
      <c r="A84" s="61"/>
      <c r="B84" s="61"/>
      <c r="C84" s="61"/>
      <c r="D84" s="61"/>
      <c r="E84" s="61"/>
      <c r="F84" s="61"/>
      <c r="G84" s="61"/>
      <c r="H84" s="61"/>
      <c r="I84" s="61"/>
      <c r="J84" s="61"/>
      <c r="K84" s="61"/>
      <c r="L84" s="61"/>
      <c r="M84" s="61"/>
      <c r="N84" s="61"/>
      <c r="O84" s="61"/>
      <c r="P84" s="61"/>
      <c r="Q84" s="61"/>
      <c r="R84" s="61"/>
      <c r="S84" s="61"/>
      <c r="T84" s="61"/>
      <c r="U84" s="61"/>
      <c r="V84" s="62"/>
      <c r="W84" s="62"/>
      <c r="X84" s="62"/>
      <c r="Y84" s="62"/>
      <c r="Z84" s="62"/>
      <c r="AA84" s="62"/>
      <c r="AB84" s="62"/>
      <c r="AC84" s="62"/>
      <c r="AD84" s="62"/>
      <c r="AE84" s="62"/>
      <c r="AF84" s="62"/>
      <c r="AG84" s="62"/>
      <c r="AH84" s="62"/>
      <c r="AI84" s="62"/>
      <c r="AJ84" s="62"/>
      <c r="AK84" s="62"/>
      <c r="AL84" s="62"/>
      <c r="AM84" s="62"/>
      <c r="AN84" s="62"/>
    </row>
    <row r="85" spans="1:40" x14ac:dyDescent="0.45">
      <c r="A85" s="61"/>
      <c r="B85" s="61"/>
      <c r="C85" s="61"/>
      <c r="D85" s="61"/>
      <c r="E85" s="61"/>
      <c r="F85" s="61"/>
      <c r="G85" s="61"/>
      <c r="H85" s="61"/>
      <c r="I85" s="61"/>
      <c r="J85" s="61"/>
      <c r="K85" s="61"/>
      <c r="L85" s="61"/>
      <c r="M85" s="61"/>
      <c r="N85" s="61"/>
      <c r="O85" s="61"/>
      <c r="P85" s="61"/>
      <c r="Q85" s="61"/>
      <c r="R85" s="61"/>
      <c r="S85" s="61"/>
      <c r="T85" s="61"/>
      <c r="U85" s="61"/>
      <c r="V85" s="62"/>
      <c r="W85" s="62"/>
      <c r="X85" s="62"/>
      <c r="Y85" s="62"/>
      <c r="Z85" s="62"/>
      <c r="AA85" s="62"/>
      <c r="AB85" s="62"/>
      <c r="AC85" s="62"/>
      <c r="AD85" s="62"/>
      <c r="AE85" s="62"/>
      <c r="AF85" s="62"/>
      <c r="AG85" s="62"/>
      <c r="AH85" s="62"/>
      <c r="AI85" s="62"/>
      <c r="AJ85" s="62"/>
      <c r="AK85" s="62"/>
      <c r="AL85" s="62"/>
      <c r="AM85" s="62"/>
      <c r="AN85" s="62"/>
    </row>
    <row r="86" spans="1:40" x14ac:dyDescent="0.45">
      <c r="A86" s="61"/>
      <c r="B86" s="61"/>
      <c r="C86" s="61"/>
      <c r="D86" s="61"/>
      <c r="E86" s="61"/>
      <c r="F86" s="61"/>
      <c r="G86" s="61"/>
      <c r="H86" s="61"/>
      <c r="I86" s="61"/>
      <c r="J86" s="61"/>
      <c r="K86" s="61"/>
      <c r="L86" s="61"/>
      <c r="M86" s="61"/>
      <c r="N86" s="61"/>
      <c r="O86" s="61"/>
      <c r="P86" s="61"/>
      <c r="Q86" s="61"/>
      <c r="R86" s="61"/>
      <c r="S86" s="61"/>
      <c r="T86" s="61"/>
      <c r="U86" s="61"/>
      <c r="V86" s="62"/>
      <c r="W86" s="62"/>
      <c r="X86" s="62"/>
      <c r="Y86" s="62"/>
      <c r="Z86" s="62"/>
      <c r="AA86" s="62"/>
      <c r="AB86" s="62"/>
      <c r="AC86" s="62"/>
      <c r="AD86" s="62"/>
      <c r="AE86" s="62"/>
      <c r="AF86" s="62"/>
      <c r="AG86" s="62"/>
      <c r="AH86" s="62"/>
      <c r="AI86" s="62"/>
      <c r="AJ86" s="62"/>
      <c r="AK86" s="62"/>
      <c r="AL86" s="62"/>
      <c r="AM86" s="62"/>
      <c r="AN86" s="62"/>
    </row>
    <row r="87" spans="1:40" x14ac:dyDescent="0.45">
      <c r="A87" s="61"/>
      <c r="B87" s="61"/>
      <c r="C87" s="61"/>
      <c r="D87" s="61"/>
      <c r="E87" s="61"/>
      <c r="F87" s="61"/>
      <c r="G87" s="61"/>
      <c r="H87" s="61"/>
      <c r="I87" s="61"/>
      <c r="J87" s="61"/>
      <c r="K87" s="61"/>
      <c r="L87" s="61"/>
      <c r="M87" s="61"/>
      <c r="N87" s="61"/>
      <c r="O87" s="61"/>
      <c r="P87" s="61"/>
      <c r="Q87" s="61"/>
      <c r="R87" s="61"/>
      <c r="S87" s="61"/>
      <c r="T87" s="61"/>
      <c r="U87" s="61"/>
      <c r="V87" s="62"/>
      <c r="W87" s="62"/>
      <c r="X87" s="62"/>
      <c r="Y87" s="62"/>
      <c r="Z87" s="62"/>
      <c r="AA87" s="62"/>
      <c r="AB87" s="62"/>
      <c r="AC87" s="62"/>
      <c r="AD87" s="62"/>
      <c r="AE87" s="62"/>
      <c r="AF87" s="62"/>
      <c r="AG87" s="62"/>
      <c r="AH87" s="62"/>
      <c r="AI87" s="62"/>
      <c r="AJ87" s="62"/>
      <c r="AK87" s="62"/>
      <c r="AL87" s="62"/>
      <c r="AM87" s="62"/>
      <c r="AN87" s="62"/>
    </row>
    <row r="88" spans="1:40" x14ac:dyDescent="0.45">
      <c r="A88" s="61"/>
      <c r="B88" s="61"/>
      <c r="C88" s="61"/>
      <c r="D88" s="61"/>
      <c r="E88" s="61"/>
      <c r="F88" s="61"/>
      <c r="G88" s="61"/>
      <c r="H88" s="61"/>
      <c r="I88" s="61"/>
      <c r="J88" s="61"/>
      <c r="K88" s="61"/>
      <c r="L88" s="61"/>
      <c r="M88" s="61"/>
      <c r="N88" s="61"/>
      <c r="O88" s="61"/>
      <c r="P88" s="61"/>
      <c r="Q88" s="61"/>
      <c r="R88" s="61"/>
      <c r="S88" s="61"/>
      <c r="T88" s="61"/>
      <c r="U88" s="61"/>
      <c r="V88" s="62"/>
      <c r="W88" s="62"/>
      <c r="X88" s="62"/>
      <c r="Y88" s="62"/>
      <c r="Z88" s="62"/>
      <c r="AA88" s="62"/>
      <c r="AB88" s="62"/>
      <c r="AC88" s="62"/>
      <c r="AD88" s="62"/>
      <c r="AE88" s="62"/>
      <c r="AF88" s="62"/>
      <c r="AG88" s="62"/>
      <c r="AH88" s="62"/>
      <c r="AI88" s="62"/>
      <c r="AJ88" s="62"/>
      <c r="AK88" s="62"/>
      <c r="AL88" s="62"/>
      <c r="AM88" s="62"/>
      <c r="AN88" s="62"/>
    </row>
    <row r="89" spans="1:40" x14ac:dyDescent="0.45">
      <c r="A89" s="61"/>
      <c r="B89" s="61"/>
      <c r="C89" s="61"/>
      <c r="D89" s="61"/>
      <c r="E89" s="61"/>
      <c r="F89" s="61"/>
      <c r="G89" s="61"/>
      <c r="H89" s="61"/>
      <c r="I89" s="61"/>
      <c r="J89" s="61"/>
      <c r="K89" s="61"/>
      <c r="L89" s="61"/>
      <c r="M89" s="61"/>
      <c r="N89" s="61"/>
      <c r="O89" s="61"/>
      <c r="P89" s="61"/>
      <c r="Q89" s="61"/>
      <c r="R89" s="61"/>
      <c r="S89" s="61"/>
      <c r="T89" s="61"/>
      <c r="U89" s="61"/>
      <c r="V89" s="62"/>
      <c r="W89" s="62"/>
      <c r="X89" s="62"/>
      <c r="Y89" s="62"/>
      <c r="Z89" s="62"/>
      <c r="AA89" s="62"/>
      <c r="AB89" s="62"/>
      <c r="AC89" s="62"/>
      <c r="AD89" s="62"/>
      <c r="AE89" s="62"/>
      <c r="AF89" s="62"/>
      <c r="AG89" s="62"/>
      <c r="AH89" s="62"/>
      <c r="AI89" s="62"/>
      <c r="AJ89" s="62"/>
      <c r="AK89" s="62"/>
      <c r="AL89" s="62"/>
      <c r="AM89" s="62"/>
      <c r="AN89" s="62"/>
    </row>
    <row r="90" spans="1:40" x14ac:dyDescent="0.45">
      <c r="A90" s="61"/>
      <c r="B90" s="61"/>
      <c r="C90" s="61"/>
      <c r="D90" s="61"/>
      <c r="E90" s="61"/>
      <c r="F90" s="61"/>
      <c r="G90" s="61"/>
      <c r="H90" s="61"/>
      <c r="I90" s="61"/>
      <c r="J90" s="61"/>
      <c r="K90" s="61"/>
      <c r="L90" s="61"/>
      <c r="M90" s="61"/>
      <c r="N90" s="61"/>
      <c r="O90" s="61"/>
      <c r="P90" s="61"/>
      <c r="Q90" s="61"/>
      <c r="R90" s="61"/>
      <c r="S90" s="61"/>
      <c r="T90" s="61"/>
      <c r="U90" s="61"/>
      <c r="V90" s="61"/>
      <c r="W90" s="61"/>
      <c r="X90" s="61"/>
      <c r="Y90" s="61"/>
      <c r="Z90" s="61"/>
      <c r="AA90" s="61"/>
      <c r="AB90" s="61"/>
      <c r="AC90" s="61"/>
      <c r="AD90" s="61"/>
      <c r="AE90" s="61"/>
      <c r="AF90" s="61"/>
      <c r="AG90" s="61"/>
      <c r="AH90" s="61"/>
      <c r="AI90" s="61"/>
      <c r="AJ90" s="61"/>
      <c r="AK90" s="61"/>
      <c r="AL90" s="61"/>
      <c r="AM90" s="61"/>
      <c r="AN90" s="61"/>
    </row>
    <row r="91" spans="1:40" x14ac:dyDescent="0.45">
      <c r="A91" s="61"/>
      <c r="B91" s="61"/>
      <c r="C91" s="61"/>
      <c r="D91" s="61"/>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row>
    <row r="92" spans="1:40" x14ac:dyDescent="0.45">
      <c r="A92" s="61"/>
      <c r="B92" s="61"/>
      <c r="C92" s="61"/>
      <c r="D92" s="61"/>
      <c r="E92" s="61"/>
      <c r="F92" s="61"/>
      <c r="G92" s="61"/>
      <c r="H92" s="61"/>
      <c r="I92" s="61"/>
      <c r="J92" s="61"/>
      <c r="K92" s="61"/>
      <c r="L92" s="61"/>
      <c r="M92" s="61"/>
      <c r="N92" s="61"/>
      <c r="O92" s="61"/>
      <c r="P92" s="61"/>
      <c r="Q92" s="61"/>
      <c r="R92" s="61"/>
      <c r="S92" s="61"/>
      <c r="T92" s="61"/>
      <c r="U92" s="61"/>
      <c r="V92" s="61"/>
      <c r="W92" s="61"/>
      <c r="X92" s="61"/>
      <c r="Y92" s="61"/>
      <c r="Z92" s="61"/>
      <c r="AA92" s="61"/>
      <c r="AB92" s="61"/>
      <c r="AC92" s="61"/>
      <c r="AD92" s="61"/>
      <c r="AE92" s="61"/>
      <c r="AF92" s="61"/>
      <c r="AG92" s="61"/>
      <c r="AH92" s="61"/>
      <c r="AI92" s="61"/>
      <c r="AJ92" s="61"/>
      <c r="AK92" s="61"/>
      <c r="AL92" s="61"/>
      <c r="AM92" s="61"/>
      <c r="AN92" s="61"/>
    </row>
    <row r="93" spans="1:40" x14ac:dyDescent="0.45">
      <c r="A93" s="61"/>
      <c r="B93" s="61"/>
      <c r="C93" s="61"/>
      <c r="D93" s="61"/>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row>
    <row r="94" spans="1:40" x14ac:dyDescent="0.45">
      <c r="A94" s="61"/>
      <c r="B94" s="61"/>
      <c r="C94" s="61"/>
      <c r="D94" s="61"/>
      <c r="E94" s="61"/>
      <c r="F94" s="61"/>
      <c r="G94" s="61"/>
      <c r="H94" s="61"/>
      <c r="I94" s="61"/>
      <c r="J94" s="61"/>
      <c r="K94" s="61"/>
      <c r="L94" s="61"/>
      <c r="M94" s="61"/>
      <c r="N94" s="61"/>
      <c r="O94" s="61"/>
      <c r="P94" s="61"/>
      <c r="Q94" s="61"/>
      <c r="R94" s="61"/>
      <c r="S94" s="61"/>
      <c r="T94" s="61"/>
      <c r="U94" s="61"/>
      <c r="V94" s="61"/>
      <c r="W94" s="61"/>
      <c r="X94" s="61"/>
      <c r="Y94" s="61"/>
      <c r="Z94" s="61"/>
      <c r="AA94" s="61"/>
      <c r="AB94" s="61"/>
      <c r="AC94" s="61"/>
      <c r="AD94" s="61"/>
      <c r="AE94" s="61"/>
      <c r="AF94" s="61"/>
      <c r="AG94" s="61"/>
      <c r="AH94" s="61"/>
      <c r="AI94" s="61"/>
      <c r="AJ94" s="61"/>
      <c r="AK94" s="61"/>
      <c r="AL94" s="61"/>
      <c r="AM94" s="61"/>
      <c r="AN94" s="61"/>
    </row>
    <row r="95" spans="1:40" x14ac:dyDescent="0.45">
      <c r="A95" s="61"/>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row>
    <row r="96" spans="1:40" x14ac:dyDescent="0.45">
      <c r="A96" s="61"/>
      <c r="B96" s="61"/>
      <c r="C96" s="61"/>
      <c r="D96" s="61"/>
      <c r="E96" s="61"/>
      <c r="F96" s="61"/>
      <c r="G96" s="61"/>
      <c r="H96" s="61"/>
      <c r="I96" s="61"/>
      <c r="J96" s="61"/>
      <c r="K96" s="61"/>
      <c r="L96" s="61"/>
      <c r="M96" s="61"/>
      <c r="N96" s="61"/>
      <c r="O96" s="61"/>
      <c r="P96" s="61"/>
      <c r="Q96" s="61"/>
      <c r="R96" s="61"/>
      <c r="S96" s="61"/>
      <c r="T96" s="61"/>
      <c r="U96" s="61"/>
      <c r="V96" s="61"/>
      <c r="W96" s="61"/>
      <c r="X96" s="61"/>
      <c r="Y96" s="61"/>
      <c r="Z96" s="61"/>
      <c r="AA96" s="61"/>
      <c r="AB96" s="61"/>
      <c r="AC96" s="61"/>
      <c r="AD96" s="61"/>
      <c r="AE96" s="61"/>
      <c r="AF96" s="61"/>
      <c r="AG96" s="61"/>
      <c r="AH96" s="61"/>
      <c r="AI96" s="61"/>
      <c r="AJ96" s="61"/>
      <c r="AK96" s="61"/>
      <c r="AL96" s="61"/>
      <c r="AM96" s="61"/>
      <c r="AN96" s="61"/>
    </row>
    <row r="97" spans="1:40" x14ac:dyDescent="0.45">
      <c r="A97" s="61"/>
      <c r="B97" s="61"/>
      <c r="C97" s="61"/>
      <c r="D97" s="61"/>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row>
    <row r="98" spans="1:40" x14ac:dyDescent="0.45">
      <c r="A98" s="61"/>
      <c r="B98" s="61"/>
      <c r="C98" s="61"/>
      <c r="D98" s="61"/>
      <c r="E98" s="61"/>
      <c r="F98" s="61"/>
      <c r="G98" s="61"/>
      <c r="H98" s="61"/>
      <c r="I98" s="61"/>
      <c r="J98" s="61"/>
      <c r="K98" s="61"/>
      <c r="L98" s="61"/>
      <c r="M98" s="61"/>
      <c r="N98" s="61"/>
      <c r="O98" s="61"/>
      <c r="P98" s="61"/>
      <c r="Q98" s="61"/>
      <c r="R98" s="61"/>
      <c r="S98" s="61"/>
      <c r="T98" s="61"/>
      <c r="U98" s="61"/>
      <c r="V98" s="61"/>
      <c r="W98" s="61"/>
      <c r="X98" s="61"/>
      <c r="Y98" s="61"/>
      <c r="Z98" s="61"/>
      <c r="AA98" s="61"/>
      <c r="AB98" s="61"/>
      <c r="AC98" s="61"/>
      <c r="AD98" s="61"/>
      <c r="AE98" s="61"/>
      <c r="AF98" s="61"/>
      <c r="AG98" s="61"/>
      <c r="AH98" s="61"/>
      <c r="AI98" s="61"/>
      <c r="AJ98" s="61"/>
      <c r="AK98" s="61"/>
      <c r="AL98" s="61"/>
      <c r="AM98" s="61"/>
      <c r="AN98" s="61"/>
    </row>
    <row r="99" spans="1:40" x14ac:dyDescent="0.45">
      <c r="A99" s="61"/>
      <c r="B99" s="61"/>
      <c r="C99" s="61"/>
      <c r="D99" s="61"/>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row>
    <row r="100" spans="1:40" x14ac:dyDescent="0.45">
      <c r="A100" s="61"/>
      <c r="B100" s="61"/>
      <c r="C100" s="61"/>
      <c r="D100" s="61"/>
      <c r="E100" s="61"/>
      <c r="F100" s="61"/>
      <c r="G100" s="61"/>
      <c r="H100" s="61"/>
      <c r="I100" s="61"/>
      <c r="J100" s="61"/>
      <c r="K100" s="61"/>
      <c r="L100" s="61"/>
      <c r="M100" s="61"/>
      <c r="N100" s="61"/>
      <c r="O100" s="61"/>
      <c r="P100" s="61"/>
      <c r="Q100" s="61"/>
      <c r="R100" s="61"/>
      <c r="S100" s="61"/>
      <c r="T100" s="61"/>
      <c r="U100" s="61"/>
      <c r="V100" s="61"/>
      <c r="W100" s="61"/>
      <c r="X100" s="61"/>
      <c r="Y100" s="61"/>
      <c r="Z100" s="61"/>
      <c r="AA100" s="61"/>
      <c r="AB100" s="61"/>
      <c r="AC100" s="61"/>
      <c r="AD100" s="61"/>
      <c r="AE100" s="61"/>
      <c r="AF100" s="61"/>
      <c r="AG100" s="61"/>
      <c r="AH100" s="61"/>
      <c r="AI100" s="61"/>
      <c r="AJ100" s="61"/>
      <c r="AK100" s="61"/>
      <c r="AL100" s="61"/>
      <c r="AM100" s="61"/>
      <c r="AN100" s="61"/>
    </row>
    <row r="101" spans="1:40" x14ac:dyDescent="0.45">
      <c r="A101" s="61"/>
      <c r="B101" s="61"/>
      <c r="C101" s="61"/>
      <c r="D101" s="61"/>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row>
    <row r="102" spans="1:40" x14ac:dyDescent="0.45">
      <c r="A102" s="61"/>
      <c r="B102" s="61"/>
      <c r="C102" s="61"/>
      <c r="D102" s="61"/>
      <c r="E102" s="61"/>
      <c r="F102" s="61"/>
      <c r="G102" s="61"/>
      <c r="H102" s="61"/>
      <c r="I102" s="61"/>
      <c r="J102" s="61"/>
      <c r="K102" s="61"/>
      <c r="L102" s="61"/>
      <c r="M102" s="61"/>
      <c r="N102" s="61"/>
      <c r="O102" s="61"/>
      <c r="P102" s="61"/>
      <c r="Q102" s="61"/>
      <c r="R102" s="61"/>
      <c r="S102" s="61"/>
      <c r="T102" s="61"/>
      <c r="U102" s="61"/>
      <c r="V102" s="61"/>
      <c r="W102" s="61"/>
      <c r="X102" s="61"/>
      <c r="Y102" s="61"/>
      <c r="Z102" s="61"/>
      <c r="AA102" s="61"/>
      <c r="AB102" s="61"/>
      <c r="AC102" s="61"/>
      <c r="AD102" s="61"/>
      <c r="AE102" s="61"/>
      <c r="AF102" s="61"/>
      <c r="AG102" s="61"/>
      <c r="AH102" s="61"/>
      <c r="AI102" s="61"/>
      <c r="AJ102" s="61"/>
      <c r="AK102" s="61"/>
      <c r="AL102" s="61"/>
      <c r="AM102" s="61"/>
      <c r="AN102" s="61"/>
    </row>
    <row r="103" spans="1:40" x14ac:dyDescent="0.45">
      <c r="A103" s="61"/>
      <c r="B103" s="61"/>
      <c r="C103" s="61"/>
      <c r="D103" s="61"/>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row>
    <row r="104" spans="1:40" x14ac:dyDescent="0.45">
      <c r="A104" s="61"/>
      <c r="B104" s="61"/>
      <c r="C104" s="61"/>
      <c r="D104" s="61"/>
      <c r="E104" s="61"/>
      <c r="F104" s="61"/>
      <c r="G104" s="61"/>
      <c r="H104" s="61"/>
      <c r="I104" s="61"/>
      <c r="J104" s="61"/>
      <c r="K104" s="61"/>
      <c r="L104" s="61"/>
      <c r="M104" s="61"/>
      <c r="N104" s="61"/>
      <c r="O104" s="61"/>
      <c r="P104" s="61"/>
      <c r="Q104" s="61"/>
      <c r="R104" s="61"/>
      <c r="S104" s="61"/>
      <c r="T104" s="61"/>
      <c r="U104" s="61"/>
      <c r="V104" s="61"/>
      <c r="W104" s="61"/>
      <c r="X104" s="61"/>
      <c r="Y104" s="61"/>
      <c r="Z104" s="61"/>
      <c r="AA104" s="61"/>
      <c r="AB104" s="61"/>
      <c r="AC104" s="61"/>
      <c r="AD104" s="61"/>
      <c r="AE104" s="61"/>
      <c r="AF104" s="61"/>
      <c r="AG104" s="61"/>
      <c r="AH104" s="61"/>
      <c r="AI104" s="61"/>
      <c r="AJ104" s="61"/>
      <c r="AK104" s="61"/>
      <c r="AL104" s="61"/>
      <c r="AM104" s="61"/>
      <c r="AN104" s="61"/>
    </row>
    <row r="105" spans="1:40" x14ac:dyDescent="0.45">
      <c r="A105" s="61"/>
      <c r="B105" s="61"/>
      <c r="C105" s="61"/>
      <c r="D105" s="61"/>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row>
    <row r="106" spans="1:40" x14ac:dyDescent="0.45">
      <c r="A106" s="61"/>
      <c r="B106" s="61"/>
      <c r="C106" s="61"/>
      <c r="D106" s="61"/>
      <c r="E106" s="61"/>
      <c r="F106" s="61"/>
      <c r="G106" s="61"/>
      <c r="H106" s="61"/>
      <c r="I106" s="61"/>
      <c r="J106" s="61"/>
      <c r="K106" s="61"/>
      <c r="L106" s="61"/>
      <c r="M106" s="61"/>
      <c r="N106" s="61"/>
      <c r="O106" s="61"/>
      <c r="P106" s="61"/>
      <c r="Q106" s="61"/>
      <c r="R106" s="61"/>
      <c r="S106" s="61"/>
      <c r="T106" s="61"/>
      <c r="U106" s="61"/>
      <c r="V106" s="61"/>
      <c r="W106" s="61"/>
      <c r="X106" s="61"/>
      <c r="Y106" s="61"/>
      <c r="Z106" s="61"/>
      <c r="AA106" s="61"/>
      <c r="AB106" s="61"/>
      <c r="AC106" s="61"/>
      <c r="AD106" s="61"/>
      <c r="AE106" s="61"/>
      <c r="AF106" s="61"/>
      <c r="AG106" s="61"/>
      <c r="AH106" s="61"/>
      <c r="AI106" s="61"/>
      <c r="AJ106" s="61"/>
      <c r="AK106" s="61"/>
      <c r="AL106" s="61"/>
      <c r="AM106" s="61"/>
      <c r="AN106" s="61"/>
    </row>
    <row r="107" spans="1:40" x14ac:dyDescent="0.45">
      <c r="A107" s="61"/>
      <c r="B107" s="61"/>
      <c r="C107" s="61"/>
      <c r="D107" s="61"/>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row>
    <row r="108" spans="1:40" x14ac:dyDescent="0.45">
      <c r="A108" s="61"/>
      <c r="B108" s="61"/>
      <c r="C108" s="61"/>
      <c r="D108" s="61"/>
      <c r="E108" s="61"/>
      <c r="F108" s="61"/>
      <c r="G108" s="61"/>
      <c r="H108" s="61"/>
      <c r="I108" s="61"/>
      <c r="J108" s="61"/>
      <c r="K108" s="61"/>
      <c r="L108" s="61"/>
      <c r="M108" s="61"/>
      <c r="N108" s="61"/>
      <c r="O108" s="61"/>
      <c r="P108" s="61"/>
      <c r="Q108" s="61"/>
      <c r="R108" s="61"/>
      <c r="S108" s="61"/>
      <c r="T108" s="61"/>
      <c r="U108" s="61"/>
      <c r="V108" s="61"/>
      <c r="W108" s="61"/>
      <c r="X108" s="61"/>
      <c r="Y108" s="61"/>
      <c r="Z108" s="61"/>
      <c r="AA108" s="61"/>
      <c r="AB108" s="61"/>
      <c r="AC108" s="61"/>
      <c r="AD108" s="61"/>
      <c r="AE108" s="61"/>
      <c r="AF108" s="61"/>
      <c r="AG108" s="61"/>
      <c r="AH108" s="61"/>
      <c r="AI108" s="61"/>
      <c r="AJ108" s="61"/>
      <c r="AK108" s="61"/>
      <c r="AL108" s="61"/>
      <c r="AM108" s="61"/>
      <c r="AN108" s="61"/>
    </row>
    <row r="109" spans="1:40" x14ac:dyDescent="0.45">
      <c r="A109" s="61"/>
      <c r="B109" s="61"/>
      <c r="C109" s="61"/>
      <c r="D109" s="61"/>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row>
    <row r="110" spans="1:40" x14ac:dyDescent="0.45">
      <c r="A110" s="61"/>
      <c r="B110" s="61"/>
      <c r="C110" s="61"/>
      <c r="D110" s="61"/>
      <c r="E110" s="61"/>
      <c r="F110" s="61"/>
      <c r="G110" s="61"/>
      <c r="H110" s="61"/>
      <c r="I110" s="61"/>
      <c r="J110" s="61"/>
      <c r="K110" s="61"/>
      <c r="L110" s="61"/>
      <c r="M110" s="61"/>
      <c r="N110" s="61"/>
      <c r="O110" s="61"/>
      <c r="P110" s="61"/>
      <c r="Q110" s="61"/>
      <c r="R110" s="61"/>
      <c r="S110" s="61"/>
      <c r="T110" s="61"/>
      <c r="U110" s="61"/>
      <c r="V110" s="61"/>
      <c r="W110" s="61"/>
      <c r="X110" s="61"/>
      <c r="Y110" s="61"/>
      <c r="Z110" s="61"/>
      <c r="AA110" s="61"/>
      <c r="AB110" s="61"/>
      <c r="AC110" s="61"/>
      <c r="AD110" s="61"/>
      <c r="AE110" s="61"/>
      <c r="AF110" s="61"/>
      <c r="AG110" s="61"/>
      <c r="AH110" s="61"/>
      <c r="AI110" s="61"/>
      <c r="AJ110" s="61"/>
      <c r="AK110" s="61"/>
      <c r="AL110" s="61"/>
      <c r="AM110" s="61"/>
      <c r="AN110" s="61"/>
    </row>
    <row r="111" spans="1:40" x14ac:dyDescent="0.45">
      <c r="A111" s="61"/>
      <c r="B111" s="61"/>
      <c r="C111" s="61"/>
      <c r="D111" s="61"/>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row>
    <row r="112" spans="1:40" x14ac:dyDescent="0.45">
      <c r="A112" s="61"/>
      <c r="B112" s="61"/>
      <c r="C112" s="61"/>
      <c r="D112" s="61"/>
      <c r="E112" s="61"/>
      <c r="F112" s="61"/>
      <c r="G112" s="61"/>
      <c r="H112" s="61"/>
      <c r="I112" s="61"/>
      <c r="J112" s="61"/>
      <c r="K112" s="61"/>
      <c r="L112" s="61"/>
      <c r="M112" s="61"/>
      <c r="N112" s="61"/>
      <c r="O112" s="61"/>
      <c r="P112" s="61"/>
      <c r="Q112" s="61"/>
      <c r="R112" s="61"/>
      <c r="S112" s="61"/>
      <c r="T112" s="61"/>
      <c r="U112" s="61"/>
      <c r="V112" s="61"/>
      <c r="W112" s="61"/>
      <c r="X112" s="61"/>
      <c r="Y112" s="61"/>
      <c r="Z112" s="61"/>
      <c r="AA112" s="61"/>
      <c r="AB112" s="61"/>
      <c r="AC112" s="61"/>
      <c r="AD112" s="61"/>
      <c r="AE112" s="61"/>
      <c r="AF112" s="61"/>
      <c r="AG112" s="61"/>
      <c r="AH112" s="61"/>
      <c r="AI112" s="61"/>
      <c r="AJ112" s="61"/>
      <c r="AK112" s="61"/>
      <c r="AL112" s="61"/>
      <c r="AM112" s="61"/>
      <c r="AN112" s="61"/>
    </row>
    <row r="113" spans="1:40" x14ac:dyDescent="0.45">
      <c r="A113" s="61"/>
      <c r="B113" s="61"/>
      <c r="C113" s="61"/>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row>
    <row r="114" spans="1:40" x14ac:dyDescent="0.45">
      <c r="A114" s="61"/>
      <c r="B114" s="61"/>
      <c r="C114" s="61"/>
      <c r="D114" s="61"/>
      <c r="E114" s="61"/>
      <c r="F114" s="61"/>
      <c r="G114" s="61"/>
      <c r="H114" s="61"/>
      <c r="I114" s="61"/>
      <c r="J114" s="61"/>
      <c r="K114" s="61"/>
      <c r="L114" s="61"/>
      <c r="M114" s="61"/>
      <c r="N114" s="61"/>
      <c r="O114" s="61"/>
      <c r="P114" s="61"/>
      <c r="Q114" s="61"/>
      <c r="R114" s="61"/>
      <c r="S114" s="61"/>
      <c r="T114" s="61"/>
      <c r="U114" s="61"/>
      <c r="V114" s="61"/>
      <c r="W114" s="61"/>
      <c r="X114" s="61"/>
      <c r="Y114" s="61"/>
      <c r="Z114" s="61"/>
      <c r="AA114" s="61"/>
      <c r="AB114" s="61"/>
      <c r="AC114" s="61"/>
      <c r="AD114" s="61"/>
      <c r="AE114" s="61"/>
      <c r="AF114" s="61"/>
      <c r="AG114" s="61"/>
      <c r="AH114" s="61"/>
      <c r="AI114" s="61"/>
      <c r="AJ114" s="61"/>
      <c r="AK114" s="61"/>
      <c r="AL114" s="61"/>
      <c r="AM114" s="61"/>
      <c r="AN114" s="61"/>
    </row>
    <row r="115" spans="1:40" x14ac:dyDescent="0.45">
      <c r="A115" s="61"/>
      <c r="B115" s="61"/>
      <c r="C115" s="61"/>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row>
    <row r="116" spans="1:40" x14ac:dyDescent="0.45">
      <c r="A116" s="61"/>
      <c r="B116" s="61" t="s">
        <v>134</v>
      </c>
      <c r="C116" s="61"/>
      <c r="D116" s="61"/>
      <c r="E116" s="61"/>
      <c r="F116" s="61"/>
      <c r="G116" s="61"/>
      <c r="H116" s="61"/>
      <c r="I116" s="61"/>
      <c r="J116" s="61"/>
      <c r="K116" s="61"/>
      <c r="L116" s="61"/>
      <c r="M116" s="61"/>
      <c r="N116" s="61"/>
      <c r="O116" s="61"/>
      <c r="P116" s="61"/>
      <c r="Q116" s="61"/>
      <c r="R116" s="61"/>
      <c r="S116" s="61"/>
      <c r="T116" s="61"/>
      <c r="U116" s="61"/>
      <c r="V116" s="61"/>
      <c r="W116" s="61"/>
      <c r="X116" s="61"/>
      <c r="Y116" s="61"/>
      <c r="Z116" s="61"/>
      <c r="AA116" s="61"/>
      <c r="AB116" s="61"/>
      <c r="AC116" s="61"/>
      <c r="AD116" s="61"/>
      <c r="AE116" s="61"/>
      <c r="AF116" s="61"/>
      <c r="AG116" s="61"/>
      <c r="AH116" s="61"/>
      <c r="AI116" s="61"/>
      <c r="AJ116" s="61"/>
      <c r="AK116" s="61"/>
      <c r="AL116" s="61"/>
      <c r="AM116" s="61"/>
      <c r="AN116" s="61"/>
    </row>
  </sheetData>
  <mergeCells count="14">
    <mergeCell ref="E38:L38"/>
    <mergeCell ref="B33:L33"/>
    <mergeCell ref="E34:L34"/>
    <mergeCell ref="E35:L35"/>
    <mergeCell ref="E36:L36"/>
    <mergeCell ref="E37:L37"/>
    <mergeCell ref="B47:J47"/>
    <mergeCell ref="B61:J61"/>
    <mergeCell ref="E39:L39"/>
    <mergeCell ref="E40:L40"/>
    <mergeCell ref="E41:L41"/>
    <mergeCell ref="E42:L42"/>
    <mergeCell ref="E43:L43"/>
    <mergeCell ref="E44:L44"/>
  </mergeCells>
  <conditionalFormatting sqref="W90:W116">
    <cfRule type="aboveAverage" dxfId="6" priority="2"/>
  </conditionalFormatting>
  <conditionalFormatting sqref="W68:W78">
    <cfRule type="aboveAverage" dxfId="5" priority="1"/>
  </conditionalFormatting>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4.25" x14ac:dyDescent="0.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4.25" x14ac:dyDescent="0.45"/>
  <sheetData>
    <row r="3" spans="1:46" x14ac:dyDescent="0.45">
      <c r="A3" s="47" t="s">
        <v>169</v>
      </c>
      <c r="B3" s="2" t="s">
        <v>386</v>
      </c>
      <c r="C3" s="47" t="s">
        <v>168</v>
      </c>
      <c r="D3" s="2" t="s">
        <v>387</v>
      </c>
      <c r="U3" s="70"/>
      <c r="AO3" t="s">
        <v>170</v>
      </c>
      <c r="AP3" t="s">
        <v>388</v>
      </c>
      <c r="AQ3" t="s">
        <v>169</v>
      </c>
      <c r="AR3" t="s">
        <v>386</v>
      </c>
      <c r="AS3" t="s">
        <v>168</v>
      </c>
      <c r="AT3" t="s">
        <v>387</v>
      </c>
    </row>
    <row r="4" spans="1:46" x14ac:dyDescent="0.45">
      <c r="A4" s="35" t="s">
        <v>0</v>
      </c>
      <c r="B4" s="2"/>
      <c r="C4" s="2"/>
      <c r="D4" s="2"/>
      <c r="E4" s="2"/>
      <c r="F4" s="2"/>
      <c r="G4" s="2"/>
      <c r="H4" s="2"/>
      <c r="I4" s="2"/>
      <c r="J4" s="2"/>
      <c r="K4" s="2"/>
      <c r="L4" s="2"/>
      <c r="M4" s="2"/>
      <c r="N4" s="2"/>
      <c r="O4" s="2"/>
      <c r="P4" s="2"/>
      <c r="Q4" s="47" t="s">
        <v>329</v>
      </c>
      <c r="U4" s="70"/>
    </row>
    <row r="5" spans="1:46" x14ac:dyDescent="0.45">
      <c r="A5" s="10">
        <v>1</v>
      </c>
      <c r="B5" s="10" t="s">
        <v>10</v>
      </c>
      <c r="C5" s="10">
        <v>50</v>
      </c>
      <c r="D5" s="10">
        <v>50</v>
      </c>
      <c r="E5" s="10">
        <v>0</v>
      </c>
      <c r="F5" s="10">
        <v>3</v>
      </c>
      <c r="G5" s="10">
        <v>0</v>
      </c>
      <c r="H5" s="10">
        <v>360</v>
      </c>
      <c r="I5" s="10" t="s">
        <v>20</v>
      </c>
      <c r="J5" s="10">
        <v>32</v>
      </c>
      <c r="K5" s="10">
        <v>0.4</v>
      </c>
      <c r="L5" s="10">
        <v>0.2</v>
      </c>
      <c r="M5" s="10"/>
      <c r="N5" s="10"/>
      <c r="O5" s="10"/>
      <c r="P5" s="10"/>
      <c r="Q5" s="10" t="s">
        <v>426</v>
      </c>
      <c r="S5" s="76" t="s">
        <v>40</v>
      </c>
      <c r="T5" s="3"/>
      <c r="U5" s="5"/>
    </row>
    <row r="6" spans="1:46" x14ac:dyDescent="0.45">
      <c r="A6" s="10">
        <v>2</v>
      </c>
      <c r="B6" s="10" t="s">
        <v>1</v>
      </c>
      <c r="C6" s="10" t="s">
        <v>18</v>
      </c>
      <c r="D6" s="10" t="s">
        <v>124</v>
      </c>
      <c r="E6" s="10" t="s">
        <v>124</v>
      </c>
      <c r="F6" s="10" t="s">
        <v>124</v>
      </c>
      <c r="G6" s="10" t="s">
        <v>385</v>
      </c>
      <c r="H6" s="10" t="s">
        <v>124</v>
      </c>
      <c r="I6" s="10" t="s">
        <v>124</v>
      </c>
      <c r="J6" s="10" t="s">
        <v>19</v>
      </c>
      <c r="K6" s="10">
        <v>0.4</v>
      </c>
      <c r="L6" s="10">
        <v>0.2</v>
      </c>
      <c r="M6" s="10"/>
      <c r="N6" s="10"/>
      <c r="O6" s="10"/>
      <c r="P6" s="10"/>
      <c r="Q6" s="10" t="s">
        <v>425</v>
      </c>
      <c r="S6" s="5" t="s">
        <v>122</v>
      </c>
      <c r="T6" s="5">
        <v>0.2</v>
      </c>
      <c r="U6" s="5" t="s">
        <v>44</v>
      </c>
    </row>
    <row r="7" spans="1:46" x14ac:dyDescent="0.45">
      <c r="A7" s="10">
        <v>3</v>
      </c>
      <c r="B7" s="10" t="s">
        <v>56</v>
      </c>
      <c r="C7" s="85" t="s">
        <v>325</v>
      </c>
      <c r="D7" s="10">
        <v>0</v>
      </c>
      <c r="E7" s="10">
        <v>0</v>
      </c>
      <c r="F7" s="10">
        <v>0.2</v>
      </c>
      <c r="G7" s="10">
        <v>150</v>
      </c>
      <c r="H7" s="10"/>
      <c r="I7" s="10"/>
      <c r="J7" s="10"/>
      <c r="K7" s="10"/>
      <c r="L7" s="10"/>
      <c r="M7" s="10"/>
      <c r="N7" s="10"/>
      <c r="O7" s="10"/>
      <c r="P7" s="10"/>
      <c r="Q7" s="10" t="s">
        <v>424</v>
      </c>
      <c r="S7" s="5" t="s">
        <v>95</v>
      </c>
      <c r="T7" s="5">
        <v>1</v>
      </c>
      <c r="U7" s="5" t="s">
        <v>97</v>
      </c>
    </row>
    <row r="8" spans="1:46" x14ac:dyDescent="0.45">
      <c r="A8" s="3">
        <v>4</v>
      </c>
      <c r="B8" s="83" t="s">
        <v>331</v>
      </c>
      <c r="C8" s="3">
        <v>3</v>
      </c>
      <c r="D8" s="84" t="s">
        <v>325</v>
      </c>
      <c r="E8" s="3">
        <v>1</v>
      </c>
      <c r="F8" s="3">
        <v>50</v>
      </c>
      <c r="G8" s="3" t="s">
        <v>26</v>
      </c>
      <c r="H8" s="3">
        <v>50</v>
      </c>
      <c r="I8" s="3">
        <v>50</v>
      </c>
      <c r="J8" s="3">
        <f>90/50</f>
        <v>1.8</v>
      </c>
      <c r="K8" s="3">
        <v>0</v>
      </c>
      <c r="L8" s="3" t="s">
        <v>143</v>
      </c>
      <c r="M8" s="3" t="s">
        <v>143</v>
      </c>
      <c r="N8" s="3"/>
      <c r="O8" s="3"/>
      <c r="P8" s="3"/>
      <c r="Q8" s="3" t="s">
        <v>421</v>
      </c>
      <c r="S8" s="5" t="s">
        <v>96</v>
      </c>
      <c r="T8" s="5">
        <v>1</v>
      </c>
      <c r="U8" s="5" t="s">
        <v>97</v>
      </c>
    </row>
    <row r="9" spans="1:46" x14ac:dyDescent="0.45">
      <c r="A9" s="3">
        <v>5</v>
      </c>
      <c r="B9" s="83" t="s">
        <v>331</v>
      </c>
      <c r="C9" s="3">
        <v>3</v>
      </c>
      <c r="D9" s="84" t="s">
        <v>325</v>
      </c>
      <c r="E9" s="3">
        <v>51</v>
      </c>
      <c r="F9" s="3">
        <v>100</v>
      </c>
      <c r="G9" s="3" t="s">
        <v>26</v>
      </c>
      <c r="H9" s="3">
        <v>50</v>
      </c>
      <c r="I9" s="3">
        <v>50</v>
      </c>
      <c r="J9" s="3">
        <f>-90/50</f>
        <v>-1.8</v>
      </c>
      <c r="K9" s="3">
        <v>0</v>
      </c>
      <c r="L9" s="3" t="s">
        <v>143</v>
      </c>
      <c r="M9" s="3" t="s">
        <v>143</v>
      </c>
      <c r="N9" s="3"/>
      <c r="O9" s="3"/>
      <c r="P9" s="3"/>
      <c r="Q9" s="3" t="s">
        <v>422</v>
      </c>
      <c r="S9" s="5" t="s">
        <v>233</v>
      </c>
      <c r="T9" s="5" t="s">
        <v>244</v>
      </c>
      <c r="U9" s="5"/>
    </row>
    <row r="10" spans="1:46" x14ac:dyDescent="0.45">
      <c r="A10" s="3">
        <v>6</v>
      </c>
      <c r="B10" s="83" t="s">
        <v>331</v>
      </c>
      <c r="C10" s="3">
        <v>3</v>
      </c>
      <c r="D10" s="84" t="s">
        <v>325</v>
      </c>
      <c r="E10" s="3">
        <v>101</v>
      </c>
      <c r="F10" s="3">
        <v>150</v>
      </c>
      <c r="G10" s="3" t="s">
        <v>26</v>
      </c>
      <c r="H10" s="3">
        <v>50</v>
      </c>
      <c r="I10" s="3">
        <v>50</v>
      </c>
      <c r="J10" s="3">
        <f>90/50</f>
        <v>1.8</v>
      </c>
      <c r="K10" s="3">
        <v>0</v>
      </c>
      <c r="L10" s="3" t="s">
        <v>143</v>
      </c>
      <c r="M10" s="3" t="s">
        <v>143</v>
      </c>
      <c r="N10" s="3"/>
      <c r="O10" s="3"/>
      <c r="P10" s="3"/>
      <c r="Q10" s="3" t="s">
        <v>423</v>
      </c>
      <c r="S10" s="5" t="s">
        <v>234</v>
      </c>
      <c r="T10" s="5">
        <v>0</v>
      </c>
      <c r="U10" s="5"/>
    </row>
    <row r="11" spans="1:46" x14ac:dyDescent="0.45">
      <c r="A11" s="14">
        <v>7</v>
      </c>
      <c r="B11" s="86" t="s">
        <v>334</v>
      </c>
      <c r="C11" s="14" t="s">
        <v>389</v>
      </c>
      <c r="D11" s="14" t="s">
        <v>25</v>
      </c>
      <c r="E11" s="14">
        <v>50</v>
      </c>
      <c r="F11" s="14">
        <v>50</v>
      </c>
      <c r="G11" s="14">
        <v>0</v>
      </c>
      <c r="H11" s="14">
        <v>0.4</v>
      </c>
      <c r="I11" s="14" t="s">
        <v>143</v>
      </c>
      <c r="J11" s="14" t="s">
        <v>143</v>
      </c>
      <c r="K11" s="14"/>
      <c r="L11" s="14"/>
      <c r="M11" s="14"/>
      <c r="N11" s="14"/>
      <c r="O11" s="14"/>
      <c r="P11" s="14"/>
      <c r="Q11" s="14" t="s">
        <v>418</v>
      </c>
      <c r="S11" s="46"/>
      <c r="T11" s="46"/>
      <c r="U11" s="71"/>
    </row>
    <row r="12" spans="1:46" x14ac:dyDescent="0.45">
      <c r="A12" s="87">
        <v>8</v>
      </c>
      <c r="B12" s="88" t="s">
        <v>331</v>
      </c>
      <c r="C12" s="87">
        <v>3</v>
      </c>
      <c r="D12" s="89" t="s">
        <v>325</v>
      </c>
      <c r="E12" s="87">
        <v>1</v>
      </c>
      <c r="F12" s="87">
        <v>150</v>
      </c>
      <c r="G12" s="87" t="s">
        <v>210</v>
      </c>
      <c r="H12" s="87">
        <v>50</v>
      </c>
      <c r="I12" s="87">
        <v>50</v>
      </c>
      <c r="J12" s="87">
        <v>0</v>
      </c>
      <c r="K12" s="87" t="s">
        <v>414</v>
      </c>
      <c r="L12" s="87">
        <v>0</v>
      </c>
      <c r="M12" s="87" t="s">
        <v>143</v>
      </c>
      <c r="N12" s="87" t="s">
        <v>143</v>
      </c>
      <c r="O12" s="87"/>
      <c r="P12" s="87"/>
      <c r="Q12" s="87" t="s">
        <v>419</v>
      </c>
      <c r="S12" s="5" t="s">
        <v>378</v>
      </c>
      <c r="T12" s="5">
        <v>60</v>
      </c>
      <c r="U12" s="5" t="s">
        <v>43</v>
      </c>
      <c r="V12" s="1"/>
    </row>
    <row r="13" spans="1:46" x14ac:dyDescent="0.45">
      <c r="A13" s="87">
        <v>9</v>
      </c>
      <c r="B13" s="88" t="s">
        <v>331</v>
      </c>
      <c r="C13" s="87">
        <v>3</v>
      </c>
      <c r="D13" s="89" t="s">
        <v>325</v>
      </c>
      <c r="E13" s="87">
        <v>1</v>
      </c>
      <c r="F13" s="87">
        <v>150</v>
      </c>
      <c r="G13" s="87" t="s">
        <v>178</v>
      </c>
      <c r="H13" s="87" t="s">
        <v>417</v>
      </c>
      <c r="I13" s="87">
        <v>0</v>
      </c>
      <c r="J13" s="87">
        <v>0</v>
      </c>
      <c r="K13" s="87" t="s">
        <v>143</v>
      </c>
      <c r="L13" s="87" t="s">
        <v>143</v>
      </c>
      <c r="M13" s="87"/>
      <c r="N13" s="87"/>
      <c r="O13" s="87"/>
      <c r="P13" s="87"/>
      <c r="Q13" s="87" t="s">
        <v>420</v>
      </c>
      <c r="S13" s="5" t="s">
        <v>93</v>
      </c>
      <c r="T13" s="5">
        <v>1000</v>
      </c>
      <c r="U13" s="5" t="s">
        <v>45</v>
      </c>
    </row>
    <row r="14" spans="1:46" x14ac:dyDescent="0.45">
      <c r="A14" s="57">
        <v>10</v>
      </c>
      <c r="B14" s="90" t="s">
        <v>331</v>
      </c>
      <c r="C14" s="57">
        <v>3</v>
      </c>
      <c r="D14" s="91" t="s">
        <v>325</v>
      </c>
      <c r="E14" s="57">
        <v>151</v>
      </c>
      <c r="F14" s="57">
        <v>200</v>
      </c>
      <c r="G14" s="57" t="s">
        <v>210</v>
      </c>
      <c r="H14" s="57">
        <v>50</v>
      </c>
      <c r="I14" s="57">
        <v>50</v>
      </c>
      <c r="J14" s="57">
        <v>0</v>
      </c>
      <c r="K14" s="57" t="s">
        <v>391</v>
      </c>
      <c r="L14" s="57">
        <v>0</v>
      </c>
      <c r="M14" s="57" t="s">
        <v>143</v>
      </c>
      <c r="N14" s="57" t="s">
        <v>143</v>
      </c>
      <c r="O14" s="57"/>
      <c r="P14" s="57"/>
      <c r="Q14" s="57"/>
      <c r="S14" s="5" t="s">
        <v>94</v>
      </c>
      <c r="T14" s="5">
        <v>9000</v>
      </c>
      <c r="U14" s="5" t="s">
        <v>45</v>
      </c>
    </row>
    <row r="15" spans="1:46" x14ac:dyDescent="0.45">
      <c r="A15" s="57">
        <v>11</v>
      </c>
      <c r="B15" s="90" t="s">
        <v>331</v>
      </c>
      <c r="C15" s="57">
        <v>3</v>
      </c>
      <c r="D15" s="91" t="s">
        <v>325</v>
      </c>
      <c r="E15" s="57">
        <v>151</v>
      </c>
      <c r="F15" s="57">
        <v>200</v>
      </c>
      <c r="G15" s="57" t="s">
        <v>178</v>
      </c>
      <c r="H15" s="57">
        <v>0</v>
      </c>
      <c r="I15" s="57">
        <v>0</v>
      </c>
      <c r="J15" s="57" t="s">
        <v>390</v>
      </c>
      <c r="K15" s="57" t="s">
        <v>143</v>
      </c>
      <c r="L15" s="57" t="s">
        <v>143</v>
      </c>
      <c r="M15" s="57"/>
      <c r="N15" s="57"/>
      <c r="O15" s="57"/>
      <c r="P15" s="57"/>
      <c r="Q15" s="57"/>
      <c r="S15" s="5" t="s">
        <v>41</v>
      </c>
      <c r="T15" s="5">
        <v>210</v>
      </c>
      <c r="U15" s="5" t="s">
        <v>43</v>
      </c>
      <c r="V15" s="1"/>
    </row>
    <row r="16" spans="1:46" x14ac:dyDescent="0.45">
      <c r="A16" s="2">
        <v>12</v>
      </c>
      <c r="B16" s="2"/>
      <c r="C16" s="2"/>
      <c r="D16" s="2"/>
      <c r="E16" s="2"/>
      <c r="F16" s="2"/>
      <c r="G16" s="2"/>
      <c r="H16" s="2"/>
      <c r="I16" s="2"/>
      <c r="J16" s="2"/>
      <c r="K16" s="2"/>
      <c r="L16" s="2"/>
      <c r="M16" s="2"/>
      <c r="N16" s="2"/>
      <c r="O16" s="2"/>
      <c r="P16" s="2"/>
      <c r="Q16" s="2"/>
      <c r="S16" s="5" t="s">
        <v>42</v>
      </c>
      <c r="T16" s="5">
        <v>2.85</v>
      </c>
      <c r="U16" s="5" t="s">
        <v>44</v>
      </c>
    </row>
    <row r="17" spans="1:32" x14ac:dyDescent="0.45">
      <c r="A17" s="2">
        <v>13</v>
      </c>
      <c r="B17" s="2"/>
      <c r="C17" s="2"/>
      <c r="D17" s="2"/>
      <c r="E17" s="2"/>
      <c r="F17" s="2"/>
      <c r="G17" s="2"/>
      <c r="H17" s="2"/>
      <c r="I17" s="2"/>
      <c r="J17" s="2"/>
      <c r="K17" s="2"/>
      <c r="L17" s="2"/>
      <c r="M17" s="2"/>
      <c r="N17" s="2"/>
      <c r="O17" s="2"/>
      <c r="P17" s="2"/>
      <c r="Q17" s="2"/>
      <c r="S17" s="5" t="s">
        <v>46</v>
      </c>
      <c r="T17" s="5" t="s">
        <v>89</v>
      </c>
      <c r="U17" s="5" t="s">
        <v>98</v>
      </c>
    </row>
    <row r="18" spans="1:32" x14ac:dyDescent="0.45">
      <c r="A18" s="2">
        <v>14</v>
      </c>
      <c r="B18" s="2"/>
      <c r="C18" s="2"/>
      <c r="D18" s="2"/>
      <c r="E18" s="2"/>
      <c r="F18" s="2"/>
      <c r="G18" s="2"/>
      <c r="H18" s="2"/>
      <c r="I18" s="2"/>
      <c r="J18" s="2"/>
      <c r="K18" s="2"/>
      <c r="L18" s="2"/>
      <c r="M18" s="2"/>
      <c r="N18" s="2"/>
      <c r="O18" s="2"/>
      <c r="P18" s="2"/>
      <c r="Q18" s="2"/>
      <c r="S18" s="5" t="s">
        <v>132</v>
      </c>
      <c r="T18" s="5" t="s">
        <v>193</v>
      </c>
      <c r="U18" s="5"/>
    </row>
    <row r="19" spans="1:32" x14ac:dyDescent="0.45">
      <c r="A19" s="2">
        <v>15</v>
      </c>
      <c r="B19" s="2"/>
      <c r="C19" s="2"/>
      <c r="D19" s="2"/>
      <c r="E19" s="2"/>
      <c r="F19" s="2"/>
      <c r="G19" s="2"/>
      <c r="H19" s="2"/>
      <c r="I19" s="2"/>
      <c r="J19" s="2"/>
      <c r="K19" s="2"/>
      <c r="L19" s="2"/>
      <c r="M19" s="2"/>
      <c r="N19" s="2"/>
      <c r="O19" s="2"/>
      <c r="P19" s="2"/>
      <c r="Q19" s="2"/>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5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72"/>
      <c r="V32" s="29"/>
      <c r="W32" s="29"/>
      <c r="X32" s="29"/>
      <c r="Y32" s="29"/>
      <c r="Z32" s="29"/>
      <c r="AA32" s="29"/>
      <c r="AB32" s="29"/>
      <c r="AC32" s="29"/>
      <c r="AD32" s="29"/>
      <c r="AE32" s="29"/>
      <c r="AF32" s="29"/>
    </row>
    <row r="33" spans="1:46" x14ac:dyDescent="0.45">
      <c r="A33" s="29"/>
      <c r="B33" s="29"/>
      <c r="C33" s="29"/>
      <c r="D33" s="29"/>
      <c r="E33" s="29"/>
      <c r="F33" s="29"/>
      <c r="G33" s="29"/>
      <c r="H33" s="29"/>
      <c r="I33" s="29"/>
      <c r="J33" s="29"/>
      <c r="K33" s="29"/>
      <c r="L33" s="29"/>
      <c r="M33" s="29"/>
      <c r="N33" s="29"/>
      <c r="O33" s="29"/>
      <c r="P33" s="29"/>
      <c r="Q33" s="29"/>
      <c r="S33" s="77" t="s">
        <v>332</v>
      </c>
      <c r="T33" s="77" t="s">
        <v>333</v>
      </c>
      <c r="U33" s="78" t="s">
        <v>371</v>
      </c>
      <c r="V33" s="29"/>
      <c r="W33" s="29"/>
      <c r="X33" s="29"/>
      <c r="Y33" s="29"/>
      <c r="Z33" s="29"/>
      <c r="AA33" s="29"/>
      <c r="AB33" s="29"/>
      <c r="AC33" s="29"/>
      <c r="AD33" s="29"/>
      <c r="AE33" s="29"/>
      <c r="AF33" s="29"/>
    </row>
    <row r="34" spans="1:46" x14ac:dyDescent="0.45">
      <c r="A34" s="29"/>
      <c r="B34" s="29"/>
      <c r="C34" s="29"/>
      <c r="D34" s="29"/>
      <c r="E34" s="29"/>
      <c r="F34" s="29"/>
      <c r="G34" s="29"/>
      <c r="H34" s="29"/>
      <c r="I34" s="29"/>
      <c r="J34" s="29"/>
      <c r="K34" s="29"/>
      <c r="L34" s="29"/>
      <c r="M34" s="29"/>
      <c r="N34" s="29"/>
      <c r="O34" s="29"/>
      <c r="P34" s="29"/>
      <c r="Q34" s="29"/>
      <c r="R34" s="29"/>
      <c r="S34" s="57"/>
      <c r="T34" s="57"/>
      <c r="U34" s="73" t="s">
        <v>134</v>
      </c>
      <c r="V34" s="29"/>
      <c r="W34" s="29"/>
      <c r="X34" s="29"/>
      <c r="Y34" s="29"/>
      <c r="Z34" s="29"/>
      <c r="AA34" s="29"/>
      <c r="AB34" s="29"/>
      <c r="AC34" s="29"/>
      <c r="AD34" s="29"/>
      <c r="AE34" s="29"/>
      <c r="AF34" s="29"/>
      <c r="AG34" s="29"/>
      <c r="AH34" s="29"/>
      <c r="AI34" s="29"/>
      <c r="AJ34" s="29"/>
      <c r="AK34" s="29"/>
      <c r="AL34" s="29"/>
      <c r="AM34" s="29"/>
      <c r="AN34" s="29"/>
    </row>
    <row r="35" spans="1:46" x14ac:dyDescent="0.45">
      <c r="A35" s="29"/>
      <c r="B35" s="29"/>
      <c r="C35" s="29"/>
      <c r="D35" s="29"/>
      <c r="E35" s="29"/>
      <c r="F35" s="29"/>
      <c r="G35" s="29"/>
      <c r="H35" s="29"/>
      <c r="I35" s="29"/>
      <c r="J35" s="29"/>
      <c r="K35" s="29"/>
      <c r="L35" s="29"/>
      <c r="M35" s="29"/>
      <c r="N35" s="29"/>
      <c r="O35" s="29"/>
      <c r="P35" s="29"/>
      <c r="Q35" s="29"/>
      <c r="R35" s="29"/>
      <c r="S35" s="57"/>
      <c r="T35" s="57"/>
      <c r="U35" s="73" t="s">
        <v>134</v>
      </c>
      <c r="V35" s="29"/>
      <c r="W35" s="29"/>
      <c r="X35" s="29"/>
      <c r="Y35" s="29"/>
      <c r="Z35" s="29"/>
      <c r="AA35" s="29"/>
      <c r="AB35" s="29"/>
      <c r="AC35" s="29"/>
      <c r="AD35" s="29"/>
      <c r="AE35" s="29"/>
      <c r="AF35" s="29"/>
      <c r="AG35" s="29"/>
      <c r="AH35" s="29"/>
      <c r="AI35" s="29"/>
      <c r="AJ35" s="29"/>
      <c r="AK35" s="29"/>
      <c r="AL35" s="29"/>
      <c r="AM35" s="29"/>
      <c r="AN35" s="29"/>
    </row>
    <row r="36" spans="1:46" x14ac:dyDescent="0.45">
      <c r="A36" s="29"/>
      <c r="B36" s="29"/>
      <c r="C36" s="29"/>
      <c r="D36" s="29"/>
      <c r="E36" s="29"/>
      <c r="F36" s="29"/>
      <c r="G36" s="29"/>
      <c r="H36" s="29"/>
      <c r="I36" s="29"/>
      <c r="J36" s="29"/>
      <c r="K36" s="29"/>
      <c r="L36" s="29"/>
      <c r="M36" s="29"/>
      <c r="N36" s="29"/>
      <c r="O36" s="29"/>
      <c r="P36" s="29"/>
      <c r="Q36" s="29"/>
      <c r="R36" s="29"/>
      <c r="U36" s="70"/>
      <c r="V36" s="29"/>
      <c r="W36" s="29"/>
      <c r="X36" s="29"/>
      <c r="Y36" s="29"/>
      <c r="Z36" s="29"/>
      <c r="AA36" s="29"/>
      <c r="AB36" s="29"/>
      <c r="AC36" s="29"/>
      <c r="AD36" s="29"/>
      <c r="AE36" s="29"/>
      <c r="AF36" s="29"/>
      <c r="AG36" s="29"/>
      <c r="AH36" s="29"/>
      <c r="AI36" s="29"/>
      <c r="AJ36" s="29"/>
      <c r="AK36" s="29"/>
      <c r="AL36" s="29"/>
      <c r="AM36" s="29"/>
      <c r="AN36" s="29"/>
    </row>
    <row r="37" spans="1:46" x14ac:dyDescent="0.45">
      <c r="A37" s="47" t="s">
        <v>169</v>
      </c>
      <c r="B37" s="2" t="s">
        <v>411</v>
      </c>
      <c r="C37" s="47" t="s">
        <v>168</v>
      </c>
      <c r="D37" s="2" t="s">
        <v>387</v>
      </c>
      <c r="U37" s="70"/>
      <c r="AO37" t="s">
        <v>170</v>
      </c>
      <c r="AP37" t="s">
        <v>412</v>
      </c>
      <c r="AQ37" t="s">
        <v>169</v>
      </c>
      <c r="AR37" t="s">
        <v>411</v>
      </c>
      <c r="AS37" t="s">
        <v>168</v>
      </c>
      <c r="AT37" t="s">
        <v>387</v>
      </c>
    </row>
    <row r="38" spans="1:46" x14ac:dyDescent="0.45">
      <c r="A38" s="35" t="s">
        <v>0</v>
      </c>
      <c r="B38" s="2"/>
      <c r="C38" s="2"/>
      <c r="D38" s="2"/>
      <c r="E38" s="2"/>
      <c r="F38" s="2"/>
      <c r="G38" s="2"/>
      <c r="H38" s="2"/>
      <c r="I38" s="2"/>
      <c r="J38" s="2"/>
      <c r="K38" s="2"/>
      <c r="L38" s="2"/>
      <c r="M38" s="2"/>
      <c r="N38" s="2"/>
      <c r="O38" s="2"/>
      <c r="P38" s="2"/>
      <c r="Q38" s="47" t="s">
        <v>329</v>
      </c>
      <c r="U38" s="70"/>
    </row>
    <row r="39" spans="1:46" x14ac:dyDescent="0.45">
      <c r="A39" s="2">
        <v>1</v>
      </c>
      <c r="B39" s="10" t="s">
        <v>9</v>
      </c>
      <c r="C39" s="10">
        <v>50</v>
      </c>
      <c r="D39" s="10">
        <v>50</v>
      </c>
      <c r="E39" s="10" t="s">
        <v>383</v>
      </c>
      <c r="F39" s="10" t="s">
        <v>395</v>
      </c>
      <c r="G39" s="10">
        <v>0</v>
      </c>
      <c r="H39" s="10" t="s">
        <v>20</v>
      </c>
      <c r="I39" s="10">
        <v>0.4</v>
      </c>
      <c r="J39" s="10">
        <v>0.2</v>
      </c>
      <c r="K39" s="10"/>
      <c r="L39" s="10"/>
      <c r="M39" s="10"/>
      <c r="N39" s="10"/>
      <c r="O39" s="10"/>
      <c r="P39" s="10"/>
      <c r="Q39" s="10" t="s">
        <v>396</v>
      </c>
      <c r="S39" s="76" t="s">
        <v>40</v>
      </c>
      <c r="T39" s="3"/>
      <c r="U39" s="5"/>
    </row>
    <row r="40" spans="1:46" x14ac:dyDescent="0.45">
      <c r="A40" s="2">
        <v>2</v>
      </c>
      <c r="B40" s="12" t="s">
        <v>1</v>
      </c>
      <c r="C40" s="12" t="s">
        <v>18</v>
      </c>
      <c r="D40" s="12" t="s">
        <v>124</v>
      </c>
      <c r="E40" s="12" t="s">
        <v>124</v>
      </c>
      <c r="F40" s="12" t="s">
        <v>124</v>
      </c>
      <c r="G40" s="12" t="s">
        <v>404</v>
      </c>
      <c r="H40" s="12" t="s">
        <v>124</v>
      </c>
      <c r="I40" s="12" t="s">
        <v>124</v>
      </c>
      <c r="J40" s="12" t="s">
        <v>23</v>
      </c>
      <c r="K40" s="12"/>
      <c r="L40" s="12"/>
      <c r="M40" s="12"/>
      <c r="N40" s="12"/>
      <c r="O40" s="12"/>
      <c r="P40" s="12"/>
      <c r="Q40" s="2" t="s">
        <v>397</v>
      </c>
      <c r="S40" s="5" t="s">
        <v>122</v>
      </c>
      <c r="T40" s="5">
        <v>0.2</v>
      </c>
      <c r="U40" s="5" t="s">
        <v>44</v>
      </c>
    </row>
    <row r="41" spans="1:46" x14ac:dyDescent="0.45">
      <c r="A41" s="2">
        <v>3</v>
      </c>
      <c r="B41" s="15" t="s">
        <v>50</v>
      </c>
      <c r="C41" s="15" t="s">
        <v>413</v>
      </c>
      <c r="D41" s="15">
        <v>1</v>
      </c>
      <c r="E41" s="15" t="s">
        <v>403</v>
      </c>
      <c r="F41" s="15">
        <v>2000</v>
      </c>
      <c r="G41" s="15"/>
      <c r="H41" s="15"/>
      <c r="I41" s="15"/>
      <c r="J41" s="15"/>
      <c r="K41" s="15"/>
      <c r="L41" s="15"/>
      <c r="M41" s="15"/>
      <c r="N41" s="15"/>
      <c r="O41" s="15"/>
      <c r="P41" s="15"/>
      <c r="Q41" s="15"/>
      <c r="S41" s="5" t="s">
        <v>95</v>
      </c>
      <c r="T41" s="5">
        <v>1</v>
      </c>
      <c r="U41" s="5" t="s">
        <v>97</v>
      </c>
    </row>
    <row r="42" spans="1:46" x14ac:dyDescent="0.45">
      <c r="A42" s="2">
        <v>4</v>
      </c>
      <c r="B42" s="3" t="s">
        <v>1</v>
      </c>
      <c r="C42" s="3" t="s">
        <v>18</v>
      </c>
      <c r="D42" s="3" t="s">
        <v>124</v>
      </c>
      <c r="E42" s="3" t="s">
        <v>124</v>
      </c>
      <c r="F42" s="3" t="s">
        <v>124</v>
      </c>
      <c r="G42" s="3" t="s">
        <v>124</v>
      </c>
      <c r="H42" s="3" t="s">
        <v>124</v>
      </c>
      <c r="I42" s="3" t="s">
        <v>392</v>
      </c>
      <c r="J42" s="3" t="s">
        <v>23</v>
      </c>
      <c r="K42" s="3">
        <v>0</v>
      </c>
      <c r="L42" s="3">
        <v>0</v>
      </c>
      <c r="M42" s="3" t="s">
        <v>408</v>
      </c>
      <c r="N42" s="3"/>
      <c r="O42" s="3"/>
      <c r="P42" s="3"/>
      <c r="Q42" s="3" t="s">
        <v>398</v>
      </c>
      <c r="S42" s="5" t="s">
        <v>96</v>
      </c>
      <c r="T42" s="5">
        <v>1</v>
      </c>
      <c r="U42" s="5" t="s">
        <v>97</v>
      </c>
    </row>
    <row r="43" spans="1:46" x14ac:dyDescent="0.45">
      <c r="A43" s="2">
        <v>5</v>
      </c>
      <c r="B43" s="3" t="s">
        <v>1</v>
      </c>
      <c r="C43" s="3" t="s">
        <v>18</v>
      </c>
      <c r="D43" s="3" t="s">
        <v>124</v>
      </c>
      <c r="E43" s="3" t="s">
        <v>124</v>
      </c>
      <c r="F43" s="3" t="s">
        <v>124</v>
      </c>
      <c r="G43" s="3" t="s">
        <v>124</v>
      </c>
      <c r="H43" s="3" t="s">
        <v>395</v>
      </c>
      <c r="I43" s="3" t="s">
        <v>124</v>
      </c>
      <c r="J43" s="3" t="s">
        <v>23</v>
      </c>
      <c r="K43" s="3">
        <v>0</v>
      </c>
      <c r="L43" s="3">
        <v>0</v>
      </c>
      <c r="M43" s="3" t="s">
        <v>409</v>
      </c>
      <c r="N43" s="3"/>
      <c r="O43" s="3"/>
      <c r="P43" s="3"/>
      <c r="Q43" s="3" t="s">
        <v>399</v>
      </c>
      <c r="S43" s="5" t="s">
        <v>233</v>
      </c>
      <c r="T43" s="5" t="s">
        <v>244</v>
      </c>
      <c r="U43" s="5"/>
    </row>
    <row r="44" spans="1:46" x14ac:dyDescent="0.45">
      <c r="A44" s="2">
        <v>6</v>
      </c>
      <c r="B44" s="3" t="s">
        <v>1</v>
      </c>
      <c r="C44" s="43" t="s">
        <v>18</v>
      </c>
      <c r="D44" s="3" t="s">
        <v>124</v>
      </c>
      <c r="E44" s="3" t="s">
        <v>124</v>
      </c>
      <c r="F44" s="3" t="s">
        <v>124</v>
      </c>
      <c r="G44" s="3" t="s">
        <v>124</v>
      </c>
      <c r="H44" s="3" t="s">
        <v>124</v>
      </c>
      <c r="I44" s="3" t="s">
        <v>393</v>
      </c>
      <c r="J44" s="3" t="s">
        <v>23</v>
      </c>
      <c r="K44" s="3">
        <v>0</v>
      </c>
      <c r="L44" s="3">
        <v>0</v>
      </c>
      <c r="M44" s="3" t="s">
        <v>408</v>
      </c>
      <c r="N44" s="3"/>
      <c r="O44" s="3"/>
      <c r="P44" s="3"/>
      <c r="Q44" s="3" t="s">
        <v>400</v>
      </c>
      <c r="S44" s="5" t="s">
        <v>234</v>
      </c>
      <c r="T44" s="5">
        <v>0</v>
      </c>
      <c r="U44" s="5"/>
    </row>
    <row r="45" spans="1:46" x14ac:dyDescent="0.45">
      <c r="A45" s="2">
        <v>7</v>
      </c>
      <c r="B45" s="3" t="s">
        <v>1</v>
      </c>
      <c r="C45" s="43" t="s">
        <v>18</v>
      </c>
      <c r="D45" s="3" t="s">
        <v>124</v>
      </c>
      <c r="E45" s="3" t="s">
        <v>124</v>
      </c>
      <c r="F45" s="3" t="s">
        <v>124</v>
      </c>
      <c r="G45" s="3" t="s">
        <v>394</v>
      </c>
      <c r="H45" s="3" t="s">
        <v>124</v>
      </c>
      <c r="I45" s="3" t="s">
        <v>124</v>
      </c>
      <c r="J45" s="3" t="s">
        <v>23</v>
      </c>
      <c r="K45" s="3">
        <v>0</v>
      </c>
      <c r="L45" s="3">
        <v>0</v>
      </c>
      <c r="M45" s="3" t="s">
        <v>408</v>
      </c>
      <c r="N45" s="3"/>
      <c r="O45" s="3"/>
      <c r="P45" s="3"/>
      <c r="Q45" s="3" t="s">
        <v>401</v>
      </c>
      <c r="S45" s="46"/>
      <c r="T45" s="46"/>
      <c r="U45" s="71"/>
    </row>
    <row r="46" spans="1:46" x14ac:dyDescent="0.45">
      <c r="A46" s="2">
        <v>8</v>
      </c>
      <c r="B46" s="15" t="s">
        <v>50</v>
      </c>
      <c r="C46" s="15" t="s">
        <v>413</v>
      </c>
      <c r="D46" s="15">
        <v>1</v>
      </c>
      <c r="E46" s="15" t="s">
        <v>403</v>
      </c>
      <c r="F46" s="15">
        <v>2000</v>
      </c>
      <c r="G46" s="15"/>
      <c r="H46" s="15"/>
      <c r="I46" s="15"/>
      <c r="J46" s="15"/>
      <c r="K46" s="15"/>
      <c r="L46" s="15"/>
      <c r="M46" s="15"/>
      <c r="N46" s="15"/>
      <c r="O46" s="15"/>
      <c r="P46" s="15"/>
      <c r="Q46" s="15"/>
      <c r="S46" s="5" t="s">
        <v>378</v>
      </c>
      <c r="T46" s="5">
        <v>60</v>
      </c>
      <c r="U46" s="5" t="s">
        <v>43</v>
      </c>
      <c r="V46" s="1"/>
    </row>
    <row r="47" spans="1:46" x14ac:dyDescent="0.45">
      <c r="A47" s="2">
        <v>9</v>
      </c>
      <c r="B47" s="8" t="s">
        <v>1</v>
      </c>
      <c r="C47" s="8" t="s">
        <v>18</v>
      </c>
      <c r="D47" s="52" t="s">
        <v>124</v>
      </c>
      <c r="E47" s="8" t="s">
        <v>124</v>
      </c>
      <c r="F47" s="8" t="s">
        <v>124</v>
      </c>
      <c r="G47" s="8" t="s">
        <v>124</v>
      </c>
      <c r="H47" s="8" t="s">
        <v>124</v>
      </c>
      <c r="I47" s="8" t="s">
        <v>392</v>
      </c>
      <c r="J47" s="8" t="s">
        <v>23</v>
      </c>
      <c r="K47" s="8">
        <v>0</v>
      </c>
      <c r="L47" s="8">
        <v>0</v>
      </c>
      <c r="M47" s="8" t="s">
        <v>408</v>
      </c>
      <c r="N47" s="8"/>
      <c r="O47" s="8"/>
      <c r="P47" s="8"/>
      <c r="Q47" s="8" t="s">
        <v>398</v>
      </c>
      <c r="S47" s="5" t="s">
        <v>93</v>
      </c>
      <c r="T47" s="5">
        <v>1000</v>
      </c>
      <c r="U47" s="5" t="s">
        <v>45</v>
      </c>
    </row>
    <row r="48" spans="1:46" x14ac:dyDescent="0.45">
      <c r="A48" s="2">
        <v>10</v>
      </c>
      <c r="B48" s="8" t="s">
        <v>1</v>
      </c>
      <c r="C48" s="8" t="s">
        <v>18</v>
      </c>
      <c r="D48" s="80" t="s">
        <v>124</v>
      </c>
      <c r="E48" s="8" t="s">
        <v>124</v>
      </c>
      <c r="F48" s="8" t="s">
        <v>124</v>
      </c>
      <c r="G48" s="8" t="s">
        <v>124</v>
      </c>
      <c r="H48" s="8" t="s">
        <v>402</v>
      </c>
      <c r="I48" s="8" t="s">
        <v>124</v>
      </c>
      <c r="J48" s="8" t="s">
        <v>23</v>
      </c>
      <c r="K48" s="8">
        <v>0</v>
      </c>
      <c r="L48" s="8">
        <v>0</v>
      </c>
      <c r="M48" s="8" t="s">
        <v>409</v>
      </c>
      <c r="N48" s="8"/>
      <c r="O48" s="8"/>
      <c r="P48" s="8"/>
      <c r="Q48" s="8" t="s">
        <v>399</v>
      </c>
      <c r="S48" s="5" t="s">
        <v>94</v>
      </c>
      <c r="T48" s="5">
        <v>9000</v>
      </c>
      <c r="U48" s="5" t="s">
        <v>45</v>
      </c>
    </row>
    <row r="49" spans="1:22" x14ac:dyDescent="0.45">
      <c r="A49" s="2">
        <v>11</v>
      </c>
      <c r="B49" s="8" t="s">
        <v>1</v>
      </c>
      <c r="C49" s="8" t="s">
        <v>18</v>
      </c>
      <c r="D49" s="80" t="s">
        <v>124</v>
      </c>
      <c r="E49" s="8" t="s">
        <v>124</v>
      </c>
      <c r="F49" s="8" t="s">
        <v>124</v>
      </c>
      <c r="G49" s="8" t="s">
        <v>124</v>
      </c>
      <c r="H49" s="8" t="s">
        <v>124</v>
      </c>
      <c r="I49" s="8" t="s">
        <v>393</v>
      </c>
      <c r="J49" s="8" t="s">
        <v>23</v>
      </c>
      <c r="K49" s="8">
        <v>0</v>
      </c>
      <c r="L49" s="8">
        <v>0</v>
      </c>
      <c r="M49" s="8" t="s">
        <v>408</v>
      </c>
      <c r="N49" s="8"/>
      <c r="O49" s="8"/>
      <c r="P49" s="8"/>
      <c r="Q49" s="8" t="s">
        <v>400</v>
      </c>
      <c r="S49" s="5" t="s">
        <v>41</v>
      </c>
      <c r="T49" s="5">
        <v>210</v>
      </c>
      <c r="U49" s="5" t="s">
        <v>43</v>
      </c>
      <c r="V49" s="1"/>
    </row>
    <row r="50" spans="1:22" x14ac:dyDescent="0.45">
      <c r="A50" s="2">
        <v>12</v>
      </c>
      <c r="B50" s="8" t="s">
        <v>1</v>
      </c>
      <c r="C50" s="8" t="s">
        <v>18</v>
      </c>
      <c r="D50" s="8" t="s">
        <v>124</v>
      </c>
      <c r="E50" s="8" t="s">
        <v>124</v>
      </c>
      <c r="F50" s="8" t="s">
        <v>124</v>
      </c>
      <c r="G50" s="8" t="s">
        <v>394</v>
      </c>
      <c r="H50" s="8" t="s">
        <v>124</v>
      </c>
      <c r="I50" s="8" t="s">
        <v>124</v>
      </c>
      <c r="J50" s="8" t="s">
        <v>23</v>
      </c>
      <c r="K50" s="8">
        <v>0</v>
      </c>
      <c r="L50" s="8">
        <v>0</v>
      </c>
      <c r="M50" s="8" t="s">
        <v>408</v>
      </c>
      <c r="N50" s="8"/>
      <c r="O50" s="8"/>
      <c r="P50" s="8"/>
      <c r="Q50" s="8" t="s">
        <v>401</v>
      </c>
      <c r="S50" s="5" t="s">
        <v>42</v>
      </c>
      <c r="T50" s="5">
        <v>2.85</v>
      </c>
      <c r="U50" s="5" t="s">
        <v>44</v>
      </c>
    </row>
    <row r="51" spans="1:22" x14ac:dyDescent="0.45">
      <c r="A51" s="2">
        <v>13</v>
      </c>
      <c r="B51" s="2" t="s">
        <v>56</v>
      </c>
      <c r="C51" s="81" t="s">
        <v>406</v>
      </c>
      <c r="D51" s="2">
        <v>4</v>
      </c>
      <c r="E51" s="2">
        <v>0</v>
      </c>
      <c r="F51" s="2">
        <v>0</v>
      </c>
      <c r="G51" s="2">
        <v>9</v>
      </c>
      <c r="H51" s="2"/>
      <c r="I51" s="2"/>
      <c r="J51" s="2"/>
      <c r="K51" s="2"/>
      <c r="L51" s="2"/>
      <c r="M51" s="2"/>
      <c r="N51" s="2"/>
      <c r="O51" s="2"/>
      <c r="P51" s="2"/>
      <c r="Q51" s="2" t="s">
        <v>405</v>
      </c>
      <c r="S51" s="5" t="s">
        <v>46</v>
      </c>
      <c r="T51" s="5" t="s">
        <v>89</v>
      </c>
      <c r="U51" s="5" t="s">
        <v>98</v>
      </c>
    </row>
    <row r="52" spans="1:22" x14ac:dyDescent="0.45">
      <c r="A52" s="2">
        <v>14</v>
      </c>
      <c r="B52" s="82" t="s">
        <v>53</v>
      </c>
      <c r="C52" s="82">
        <v>13</v>
      </c>
      <c r="D52" s="82" t="s">
        <v>407</v>
      </c>
      <c r="E52" s="82">
        <v>1</v>
      </c>
      <c r="F52" s="82">
        <f>G51</f>
        <v>9</v>
      </c>
      <c r="G52" s="82" t="s">
        <v>67</v>
      </c>
      <c r="H52" s="82">
        <v>3</v>
      </c>
      <c r="I52" s="82">
        <v>0.5</v>
      </c>
      <c r="J52" s="82"/>
      <c r="K52" s="82"/>
      <c r="L52" s="82"/>
      <c r="M52" s="82"/>
      <c r="N52" s="82"/>
      <c r="O52" s="82"/>
      <c r="P52" s="82"/>
      <c r="Q52" s="82" t="s">
        <v>410</v>
      </c>
      <c r="S52" s="5" t="s">
        <v>132</v>
      </c>
      <c r="T52" s="5" t="s">
        <v>193</v>
      </c>
      <c r="U52" s="5"/>
    </row>
    <row r="53" spans="1:22" x14ac:dyDescent="0.45">
      <c r="A53" s="2">
        <v>15</v>
      </c>
      <c r="B53" s="2"/>
      <c r="C53" s="2"/>
      <c r="D53" s="2"/>
      <c r="E53" s="2"/>
      <c r="F53" s="2"/>
      <c r="G53" s="2"/>
      <c r="H53" s="2"/>
      <c r="I53" s="2"/>
      <c r="J53" s="2"/>
      <c r="K53" s="2"/>
      <c r="L53" s="2"/>
      <c r="M53" s="2"/>
      <c r="N53" s="2"/>
      <c r="O53" s="2"/>
      <c r="P53" s="2"/>
      <c r="Q53" s="2"/>
      <c r="S53" s="5" t="s">
        <v>192</v>
      </c>
      <c r="T53" s="5" t="s">
        <v>163</v>
      </c>
      <c r="U53" s="5"/>
    </row>
    <row r="54" spans="1:22" x14ac:dyDescent="0.45">
      <c r="A54" s="29"/>
      <c r="B54" s="29"/>
      <c r="C54" s="29"/>
      <c r="D54" s="29"/>
      <c r="E54" s="29"/>
      <c r="F54" s="29"/>
      <c r="G54" s="29"/>
      <c r="H54" s="29"/>
      <c r="I54" s="29"/>
      <c r="J54" s="29"/>
      <c r="K54" s="29"/>
      <c r="L54" s="29"/>
      <c r="M54" s="29"/>
      <c r="N54" s="29"/>
      <c r="O54" s="29"/>
      <c r="P54" s="29"/>
      <c r="Q54" s="29"/>
      <c r="S54" s="5" t="s">
        <v>207</v>
      </c>
      <c r="T54" s="5">
        <v>20</v>
      </c>
      <c r="U54" s="5" t="s">
        <v>44</v>
      </c>
    </row>
    <row r="55" spans="1:22" x14ac:dyDescent="0.45">
      <c r="A55" s="29"/>
      <c r="B55" s="29"/>
      <c r="C55" s="29"/>
      <c r="D55" s="29"/>
      <c r="E55" s="29"/>
      <c r="F55" s="29"/>
      <c r="G55" s="29"/>
      <c r="H55" s="29"/>
      <c r="I55" s="29"/>
      <c r="J55" s="29"/>
      <c r="K55" s="29"/>
      <c r="L55" s="29"/>
      <c r="M55" s="29"/>
      <c r="N55" s="29"/>
      <c r="O55" s="29"/>
      <c r="P55" s="29"/>
      <c r="Q55" s="29"/>
      <c r="S55" s="5" t="s">
        <v>208</v>
      </c>
      <c r="T55" s="5">
        <v>10</v>
      </c>
      <c r="U55" s="5" t="s">
        <v>44</v>
      </c>
    </row>
    <row r="56" spans="1:22" x14ac:dyDescent="0.45">
      <c r="A56" s="29"/>
      <c r="B56" s="29"/>
      <c r="C56" s="29"/>
      <c r="D56" s="29"/>
      <c r="E56" s="29"/>
      <c r="F56" s="29"/>
      <c r="G56" s="29"/>
      <c r="H56" s="29"/>
      <c r="I56" s="29"/>
      <c r="J56" s="29"/>
      <c r="K56" s="29"/>
      <c r="L56" s="29"/>
      <c r="M56" s="29"/>
      <c r="N56" s="29"/>
      <c r="O56" s="29"/>
      <c r="P56" s="29"/>
      <c r="Q56" s="29"/>
      <c r="S56" s="5" t="s">
        <v>209</v>
      </c>
      <c r="T56" s="5">
        <v>0.3</v>
      </c>
      <c r="U56" s="5" t="s">
        <v>44</v>
      </c>
    </row>
    <row r="57" spans="1:22" x14ac:dyDescent="0.45">
      <c r="A57" s="29"/>
      <c r="B57" s="29"/>
      <c r="C57" s="29"/>
      <c r="D57" s="29"/>
      <c r="E57" s="29"/>
      <c r="F57" s="29"/>
      <c r="G57" s="29"/>
      <c r="H57" s="29"/>
      <c r="I57" s="29"/>
      <c r="J57" s="29"/>
      <c r="K57" s="29"/>
      <c r="L57" s="29"/>
      <c r="M57" s="29"/>
      <c r="N57" s="29"/>
      <c r="O57" s="29"/>
      <c r="P57" s="29"/>
      <c r="Q57" s="29"/>
      <c r="S57" s="59" t="s">
        <v>379</v>
      </c>
      <c r="T57" s="5">
        <v>0</v>
      </c>
      <c r="U57" s="5"/>
      <c r="V57" s="1"/>
    </row>
    <row r="58" spans="1:22" x14ac:dyDescent="0.45">
      <c r="A58" s="29"/>
      <c r="B58" s="29"/>
      <c r="C58" s="29"/>
      <c r="D58" s="29"/>
      <c r="E58" s="29"/>
      <c r="F58" s="29"/>
      <c r="G58" s="29"/>
      <c r="H58" s="29"/>
      <c r="I58" s="29"/>
      <c r="J58" s="29"/>
      <c r="K58" s="29"/>
      <c r="L58" s="29"/>
      <c r="M58" s="29"/>
      <c r="N58" s="29"/>
      <c r="O58" s="29"/>
      <c r="P58" s="29"/>
      <c r="Q58" s="29"/>
      <c r="S58" s="5" t="s">
        <v>194</v>
      </c>
      <c r="T58" s="5" t="s">
        <v>206</v>
      </c>
      <c r="U58" s="5" t="s">
        <v>198</v>
      </c>
    </row>
    <row r="59" spans="1:22" x14ac:dyDescent="0.45">
      <c r="A59" s="29"/>
      <c r="B59" s="29"/>
      <c r="C59" s="29"/>
      <c r="D59" s="29"/>
      <c r="E59" s="29"/>
      <c r="F59" s="29"/>
      <c r="G59" s="29"/>
      <c r="H59" s="29"/>
      <c r="I59" s="29"/>
      <c r="J59" s="29"/>
      <c r="K59" s="29"/>
      <c r="L59" s="29"/>
      <c r="M59" s="29"/>
      <c r="N59" s="29"/>
      <c r="O59" s="29"/>
      <c r="P59" s="29"/>
      <c r="Q59" s="29"/>
      <c r="S59" s="5" t="s">
        <v>199</v>
      </c>
      <c r="T59" s="5">
        <v>5</v>
      </c>
      <c r="U59" s="5" t="s">
        <v>44</v>
      </c>
      <c r="V59" s="1"/>
    </row>
    <row r="60" spans="1:22" x14ac:dyDescent="0.45">
      <c r="A60" s="29"/>
      <c r="B60" s="29"/>
      <c r="C60" s="29"/>
      <c r="D60" s="29"/>
      <c r="E60" s="29"/>
      <c r="F60" s="29"/>
      <c r="G60" s="29"/>
      <c r="H60" s="29"/>
      <c r="I60" s="29"/>
      <c r="J60" s="29"/>
      <c r="K60" s="29"/>
      <c r="L60" s="29"/>
      <c r="M60" s="29"/>
      <c r="N60" s="29"/>
      <c r="O60" s="29"/>
      <c r="P60" s="29"/>
      <c r="Q60" s="29"/>
      <c r="S60" s="5" t="s">
        <v>200</v>
      </c>
      <c r="T60" s="5">
        <v>7</v>
      </c>
      <c r="U60" s="5" t="s">
        <v>98</v>
      </c>
    </row>
    <row r="61" spans="1:22" x14ac:dyDescent="0.45">
      <c r="A61" s="29"/>
      <c r="B61" s="29"/>
      <c r="C61" s="29"/>
      <c r="D61" s="29"/>
      <c r="E61" s="29"/>
      <c r="F61" s="29"/>
      <c r="G61" s="29"/>
      <c r="H61" s="29"/>
      <c r="I61" s="29"/>
      <c r="J61" s="29"/>
      <c r="K61" s="29"/>
      <c r="L61" s="29"/>
      <c r="M61" s="29"/>
      <c r="N61" s="29"/>
      <c r="O61" s="29"/>
      <c r="P61" s="29"/>
      <c r="Q61" s="29"/>
      <c r="S61" s="5" t="s">
        <v>201</v>
      </c>
      <c r="T61" s="5">
        <v>2500</v>
      </c>
      <c r="U61" s="5" t="s">
        <v>45</v>
      </c>
    </row>
    <row r="62" spans="1:22" x14ac:dyDescent="0.45">
      <c r="A62" s="29"/>
      <c r="B62" s="29"/>
      <c r="C62" s="29"/>
      <c r="D62" s="29"/>
      <c r="E62" s="29"/>
      <c r="F62" s="29"/>
      <c r="G62" s="29"/>
      <c r="H62" s="29"/>
      <c r="I62" s="29"/>
      <c r="J62" s="29"/>
      <c r="K62" s="29"/>
      <c r="L62" s="29"/>
      <c r="M62" s="29"/>
      <c r="N62" s="29"/>
      <c r="O62" s="29"/>
      <c r="P62" s="29"/>
      <c r="Q62" s="29"/>
      <c r="S62" s="5" t="s">
        <v>202</v>
      </c>
      <c r="T62" s="5">
        <f>-T60</f>
        <v>-7</v>
      </c>
      <c r="U62" s="5" t="s">
        <v>98</v>
      </c>
    </row>
    <row r="63" spans="1:22" x14ac:dyDescent="0.45">
      <c r="A63" s="29"/>
      <c r="B63" s="29"/>
      <c r="C63" s="29"/>
      <c r="D63" s="29"/>
      <c r="E63" s="29"/>
      <c r="F63" s="29"/>
      <c r="G63" s="29"/>
      <c r="H63" s="29"/>
      <c r="I63" s="29"/>
      <c r="J63" s="29"/>
      <c r="K63" s="29"/>
      <c r="L63" s="29"/>
      <c r="M63" s="29"/>
      <c r="N63" s="29"/>
      <c r="O63" s="29"/>
      <c r="P63" s="29"/>
      <c r="Q63" s="29"/>
      <c r="S63" s="3" t="s">
        <v>203</v>
      </c>
      <c r="T63" s="3">
        <f>T61</f>
        <v>2500</v>
      </c>
      <c r="U63" s="5" t="s">
        <v>45</v>
      </c>
    </row>
    <row r="64" spans="1:22" x14ac:dyDescent="0.45">
      <c r="A64" s="29"/>
      <c r="B64" s="29"/>
      <c r="C64" s="29"/>
      <c r="D64" s="29"/>
      <c r="E64" s="29"/>
      <c r="F64" s="29"/>
      <c r="G64" s="29"/>
      <c r="H64" s="29"/>
      <c r="I64" s="29"/>
      <c r="J64" s="29"/>
      <c r="K64" s="29"/>
      <c r="L64" s="29"/>
      <c r="M64" s="29"/>
      <c r="N64" s="29"/>
      <c r="O64" s="29"/>
      <c r="P64" s="29"/>
      <c r="Q64" s="29"/>
      <c r="S64" s="3" t="s">
        <v>204</v>
      </c>
      <c r="T64" s="3">
        <v>0.2</v>
      </c>
      <c r="U64" s="5" t="s">
        <v>44</v>
      </c>
    </row>
    <row r="65" spans="1:46" x14ac:dyDescent="0.45">
      <c r="A65" s="29"/>
      <c r="B65" s="29"/>
      <c r="C65" s="29"/>
      <c r="D65" s="29"/>
      <c r="E65" s="29"/>
      <c r="F65" s="29"/>
      <c r="G65" s="29"/>
      <c r="H65" s="29"/>
      <c r="I65" s="29"/>
      <c r="J65" s="29"/>
      <c r="K65" s="29"/>
      <c r="L65" s="29"/>
      <c r="M65" s="29"/>
      <c r="N65" s="29"/>
      <c r="O65" s="29"/>
      <c r="P65" s="29"/>
      <c r="Q65" s="29"/>
      <c r="S65" s="3" t="s">
        <v>205</v>
      </c>
      <c r="T65" s="3">
        <v>7500</v>
      </c>
      <c r="U65" s="5" t="s">
        <v>45</v>
      </c>
    </row>
    <row r="66" spans="1:46" x14ac:dyDescent="0.45">
      <c r="A66" s="29"/>
      <c r="B66" s="29"/>
      <c r="C66" s="29"/>
      <c r="D66" s="29"/>
      <c r="E66" s="29"/>
      <c r="F66" s="29"/>
      <c r="G66" s="29"/>
      <c r="H66" s="29"/>
      <c r="I66" s="29"/>
      <c r="J66" s="29"/>
      <c r="K66" s="29"/>
      <c r="L66" s="29"/>
      <c r="M66" s="29"/>
      <c r="N66" s="29"/>
      <c r="O66" s="29"/>
      <c r="P66" s="29"/>
      <c r="Q66" s="29"/>
      <c r="S66" s="29"/>
      <c r="T66" s="29"/>
      <c r="U66" s="72"/>
      <c r="V66" s="29"/>
      <c r="W66" s="29"/>
      <c r="X66" s="29"/>
      <c r="Y66" s="29"/>
      <c r="Z66" s="29"/>
      <c r="AA66" s="29"/>
      <c r="AB66" s="29"/>
      <c r="AC66" s="29"/>
      <c r="AD66" s="29"/>
      <c r="AE66" s="29"/>
      <c r="AF66" s="29"/>
    </row>
    <row r="67" spans="1:46" x14ac:dyDescent="0.45">
      <c r="A67" s="29"/>
      <c r="B67" s="29"/>
      <c r="C67" s="29"/>
      <c r="D67" s="29"/>
      <c r="E67" s="29"/>
      <c r="F67" s="29"/>
      <c r="G67" s="29"/>
      <c r="H67" s="29"/>
      <c r="I67" s="29"/>
      <c r="J67" s="29"/>
      <c r="K67" s="29"/>
      <c r="L67" s="29"/>
      <c r="M67" s="29"/>
      <c r="N67" s="29"/>
      <c r="O67" s="29"/>
      <c r="P67" s="29"/>
      <c r="Q67" s="29"/>
      <c r="S67" s="77" t="s">
        <v>332</v>
      </c>
      <c r="T67" s="77" t="s">
        <v>333</v>
      </c>
      <c r="U67" s="78" t="s">
        <v>371</v>
      </c>
      <c r="V67" s="29"/>
      <c r="W67" s="29"/>
      <c r="X67" s="29"/>
      <c r="Y67" s="29"/>
      <c r="Z67" s="29"/>
      <c r="AA67" s="29"/>
      <c r="AB67" s="29"/>
      <c r="AC67" s="29"/>
      <c r="AD67" s="29"/>
      <c r="AE67" s="29"/>
      <c r="AF67" s="29"/>
    </row>
    <row r="68" spans="1:46" x14ac:dyDescent="0.45">
      <c r="A68" s="29"/>
      <c r="B68" s="29"/>
      <c r="C68" s="29"/>
      <c r="D68" s="29"/>
      <c r="E68" s="29"/>
      <c r="F68" s="29"/>
      <c r="G68" s="29"/>
      <c r="H68" s="29"/>
      <c r="I68" s="29"/>
      <c r="J68" s="29"/>
      <c r="K68" s="29"/>
      <c r="L68" s="29"/>
      <c r="M68" s="29"/>
      <c r="N68" s="29"/>
      <c r="O68" s="29"/>
      <c r="P68" s="29"/>
      <c r="Q68" s="29"/>
      <c r="R68" s="29"/>
      <c r="S68" s="57"/>
      <c r="T68" s="57"/>
      <c r="U68" s="73" t="s">
        <v>134</v>
      </c>
      <c r="V68" s="29"/>
      <c r="W68" s="29"/>
      <c r="X68" s="29"/>
      <c r="Y68" s="29"/>
      <c r="Z68" s="29"/>
      <c r="AA68" s="29"/>
      <c r="AB68" s="29"/>
      <c r="AC68" s="29"/>
      <c r="AD68" s="29"/>
      <c r="AE68" s="29"/>
      <c r="AF68" s="29"/>
      <c r="AG68" s="29"/>
      <c r="AH68" s="29"/>
      <c r="AI68" s="29"/>
      <c r="AJ68" s="29"/>
      <c r="AK68" s="29"/>
      <c r="AL68" s="29"/>
      <c r="AM68" s="29"/>
      <c r="AN68" s="29"/>
    </row>
    <row r="69" spans="1:46" x14ac:dyDescent="0.45">
      <c r="A69" s="29"/>
      <c r="B69" s="29"/>
      <c r="C69" s="29"/>
      <c r="D69" s="29"/>
      <c r="E69" s="29"/>
      <c r="F69" s="29"/>
      <c r="G69" s="29"/>
      <c r="H69" s="29"/>
      <c r="I69" s="29"/>
      <c r="J69" s="29"/>
      <c r="K69" s="29"/>
      <c r="L69" s="29"/>
      <c r="M69" s="29"/>
      <c r="N69" s="29"/>
      <c r="O69" s="29"/>
      <c r="P69" s="29"/>
      <c r="Q69" s="29"/>
      <c r="R69" s="29"/>
      <c r="S69" s="57"/>
      <c r="T69" s="57"/>
      <c r="U69" s="73" t="s">
        <v>134</v>
      </c>
      <c r="V69" s="29"/>
      <c r="W69" s="29"/>
      <c r="X69" s="29"/>
      <c r="Y69" s="29"/>
      <c r="Z69" s="29"/>
      <c r="AA69" s="29"/>
      <c r="AB69" s="29"/>
      <c r="AC69" s="29"/>
      <c r="AD69" s="29"/>
      <c r="AE69" s="29"/>
      <c r="AF69" s="29"/>
      <c r="AG69" s="29"/>
      <c r="AH69" s="29"/>
      <c r="AI69" s="29"/>
      <c r="AJ69" s="29"/>
      <c r="AK69" s="29"/>
      <c r="AL69" s="29"/>
      <c r="AM69" s="29"/>
      <c r="AN69" s="29"/>
    </row>
    <row r="71" spans="1:46" x14ac:dyDescent="0.45">
      <c r="A71" s="47" t="s">
        <v>169</v>
      </c>
      <c r="B71" s="2" t="s">
        <v>415</v>
      </c>
      <c r="C71" s="47" t="s">
        <v>168</v>
      </c>
      <c r="D71" s="2" t="s">
        <v>387</v>
      </c>
      <c r="U71" s="70"/>
      <c r="AO71" t="s">
        <v>170</v>
      </c>
      <c r="AP71" t="s">
        <v>416</v>
      </c>
      <c r="AQ71" t="s">
        <v>169</v>
      </c>
      <c r="AR71" t="s">
        <v>415</v>
      </c>
      <c r="AS71" t="s">
        <v>168</v>
      </c>
      <c r="AT71" t="s">
        <v>387</v>
      </c>
    </row>
    <row r="72" spans="1:46" x14ac:dyDescent="0.45">
      <c r="A72" s="35" t="s">
        <v>0</v>
      </c>
      <c r="B72" s="2"/>
      <c r="C72" s="2"/>
      <c r="D72" s="2"/>
      <c r="E72" s="2"/>
      <c r="F72" s="2"/>
      <c r="G72" s="2"/>
      <c r="H72" s="2"/>
      <c r="I72" s="2"/>
      <c r="J72" s="2"/>
      <c r="K72" s="2"/>
      <c r="L72" s="2"/>
      <c r="M72" s="2"/>
      <c r="N72" s="2"/>
      <c r="O72" s="2"/>
      <c r="P72" s="2"/>
      <c r="Q72" s="47" t="s">
        <v>329</v>
      </c>
      <c r="U72" s="70"/>
    </row>
    <row r="73" spans="1:46" x14ac:dyDescent="0.45">
      <c r="A73" s="2">
        <v>1</v>
      </c>
      <c r="B73" s="2" t="s">
        <v>1</v>
      </c>
      <c r="C73" s="2" t="s">
        <v>18</v>
      </c>
      <c r="D73" s="2">
        <v>50</v>
      </c>
      <c r="E73" s="2">
        <v>50</v>
      </c>
      <c r="F73" s="2">
        <v>0</v>
      </c>
      <c r="G73" s="2" t="s">
        <v>383</v>
      </c>
      <c r="H73" s="2" t="s">
        <v>124</v>
      </c>
      <c r="I73" s="2" t="s">
        <v>124</v>
      </c>
      <c r="J73" s="2" t="s">
        <v>19</v>
      </c>
      <c r="K73" s="2">
        <v>0.4</v>
      </c>
      <c r="L73" s="2">
        <v>0.2</v>
      </c>
      <c r="M73" s="2"/>
      <c r="N73" s="2"/>
      <c r="O73" s="2"/>
      <c r="P73" s="2"/>
      <c r="Q73" s="2"/>
      <c r="S73" s="76" t="s">
        <v>40</v>
      </c>
      <c r="T73" s="3"/>
      <c r="U73" s="5"/>
    </row>
    <row r="74" spans="1:46" x14ac:dyDescent="0.45">
      <c r="A74" s="2">
        <v>2</v>
      </c>
      <c r="B74" s="2" t="s">
        <v>1</v>
      </c>
      <c r="C74" s="2" t="s">
        <v>18</v>
      </c>
      <c r="D74" s="2" t="s">
        <v>124</v>
      </c>
      <c r="E74" s="2" t="s">
        <v>124</v>
      </c>
      <c r="F74" s="2" t="s">
        <v>124</v>
      </c>
      <c r="G74" s="2" t="s">
        <v>124</v>
      </c>
      <c r="H74" s="2" t="s">
        <v>383</v>
      </c>
      <c r="I74" s="2" t="s">
        <v>124</v>
      </c>
      <c r="J74" s="2" t="s">
        <v>19</v>
      </c>
      <c r="K74" s="2">
        <v>0.4</v>
      </c>
      <c r="L74" s="2">
        <v>0.2</v>
      </c>
      <c r="M74" s="2"/>
      <c r="N74" s="2"/>
      <c r="O74" s="2"/>
      <c r="P74" s="2"/>
      <c r="Q74" s="2"/>
      <c r="S74" s="5" t="s">
        <v>122</v>
      </c>
      <c r="T74" s="5">
        <v>0.2</v>
      </c>
      <c r="U74" s="5" t="s">
        <v>44</v>
      </c>
    </row>
    <row r="75" spans="1:46" x14ac:dyDescent="0.45">
      <c r="A75" s="2">
        <v>3</v>
      </c>
      <c r="B75" s="2" t="s">
        <v>1</v>
      </c>
      <c r="C75" s="2" t="s">
        <v>18</v>
      </c>
      <c r="D75" s="2" t="s">
        <v>124</v>
      </c>
      <c r="E75" s="2" t="s">
        <v>124</v>
      </c>
      <c r="F75" s="2" t="s">
        <v>124</v>
      </c>
      <c r="G75" s="2" t="s">
        <v>384</v>
      </c>
      <c r="H75" s="2" t="s">
        <v>124</v>
      </c>
      <c r="I75" s="2" t="s">
        <v>124</v>
      </c>
      <c r="J75" s="2" t="s">
        <v>19</v>
      </c>
      <c r="K75" s="2">
        <v>0.4</v>
      </c>
      <c r="L75" s="2">
        <v>0.2</v>
      </c>
      <c r="M75" s="2"/>
      <c r="N75" s="2"/>
      <c r="O75" s="2"/>
      <c r="P75" s="2"/>
      <c r="Q75" s="2"/>
      <c r="S75" s="5" t="s">
        <v>95</v>
      </c>
      <c r="T75" s="5">
        <v>1</v>
      </c>
      <c r="U75" s="5" t="s">
        <v>97</v>
      </c>
    </row>
    <row r="76" spans="1:46" x14ac:dyDescent="0.45">
      <c r="A76" s="2">
        <v>4</v>
      </c>
      <c r="B76" s="2" t="s">
        <v>1</v>
      </c>
      <c r="C76" s="2" t="s">
        <v>18</v>
      </c>
      <c r="D76" s="2" t="s">
        <v>124</v>
      </c>
      <c r="E76" s="2" t="s">
        <v>124</v>
      </c>
      <c r="F76" s="2" t="s">
        <v>124</v>
      </c>
      <c r="G76" s="2" t="s">
        <v>124</v>
      </c>
      <c r="H76" s="2" t="s">
        <v>384</v>
      </c>
      <c r="I76" s="2" t="s">
        <v>124</v>
      </c>
      <c r="J76" s="2" t="s">
        <v>19</v>
      </c>
      <c r="K76" s="2">
        <v>0.4</v>
      </c>
      <c r="L76" s="2">
        <v>0.2</v>
      </c>
      <c r="M76" s="2"/>
      <c r="N76" s="2"/>
      <c r="O76" s="2"/>
      <c r="P76" s="2"/>
      <c r="Q76" s="2"/>
      <c r="S76" s="5" t="s">
        <v>96</v>
      </c>
      <c r="T76" s="5">
        <v>1</v>
      </c>
      <c r="U76" s="5" t="s">
        <v>97</v>
      </c>
    </row>
    <row r="77" spans="1:46" x14ac:dyDescent="0.45">
      <c r="A77" s="2">
        <v>5</v>
      </c>
      <c r="B77" s="2" t="s">
        <v>56</v>
      </c>
      <c r="C77" s="79" t="s">
        <v>310</v>
      </c>
      <c r="D77" s="2">
        <v>0</v>
      </c>
      <c r="E77" s="2">
        <v>0</v>
      </c>
      <c r="F77" s="2">
        <v>0.2</v>
      </c>
      <c r="G77" s="2">
        <v>250</v>
      </c>
      <c r="H77" s="2"/>
      <c r="I77" s="2"/>
      <c r="J77" s="2"/>
      <c r="K77" s="2"/>
      <c r="L77" s="2"/>
      <c r="M77" s="2"/>
      <c r="N77" s="2"/>
      <c r="O77" s="2"/>
      <c r="P77" s="2"/>
      <c r="Q77" s="2"/>
      <c r="S77" s="5" t="s">
        <v>233</v>
      </c>
      <c r="T77" s="5" t="s">
        <v>244</v>
      </c>
      <c r="U77" s="5"/>
    </row>
    <row r="78" spans="1:46" x14ac:dyDescent="0.45">
      <c r="A78" s="2">
        <v>6</v>
      </c>
      <c r="B78" s="2"/>
      <c r="C78" s="2"/>
      <c r="D78" s="2"/>
      <c r="E78" s="2"/>
      <c r="F78" s="2"/>
      <c r="G78" s="2"/>
      <c r="H78" s="2"/>
      <c r="I78" s="2"/>
      <c r="J78" s="2"/>
      <c r="K78" s="2"/>
      <c r="L78" s="2"/>
      <c r="M78" s="2"/>
      <c r="N78" s="2"/>
      <c r="O78" s="2"/>
      <c r="P78" s="2"/>
      <c r="Q78" s="2"/>
      <c r="S78" s="5" t="s">
        <v>234</v>
      </c>
      <c r="T78" s="5">
        <v>0</v>
      </c>
      <c r="U78" s="5"/>
    </row>
    <row r="79" spans="1:46" x14ac:dyDescent="0.45">
      <c r="A79" s="2">
        <v>7</v>
      </c>
      <c r="B79" s="2"/>
      <c r="C79" s="2"/>
      <c r="D79" s="2"/>
      <c r="E79" s="2"/>
      <c r="F79" s="2"/>
      <c r="G79" s="2"/>
      <c r="H79" s="2"/>
      <c r="I79" s="2"/>
      <c r="J79" s="2"/>
      <c r="K79" s="2"/>
      <c r="L79" s="2"/>
      <c r="M79" s="2"/>
      <c r="N79" s="2"/>
      <c r="O79" s="2"/>
      <c r="P79" s="2"/>
      <c r="Q79" s="2"/>
      <c r="S79" s="46"/>
      <c r="T79" s="46"/>
      <c r="U79" s="71"/>
    </row>
    <row r="80" spans="1:46" x14ac:dyDescent="0.45">
      <c r="A80" s="2">
        <v>8</v>
      </c>
      <c r="B80" s="2"/>
      <c r="C80" s="2"/>
      <c r="D80" s="2"/>
      <c r="E80" s="2"/>
      <c r="F80" s="2"/>
      <c r="G80" s="2"/>
      <c r="H80" s="2"/>
      <c r="I80" s="2"/>
      <c r="J80" s="2"/>
      <c r="K80" s="2"/>
      <c r="L80" s="2"/>
      <c r="M80" s="2"/>
      <c r="N80" s="2"/>
      <c r="O80" s="2"/>
      <c r="P80" s="2"/>
      <c r="Q80" s="2"/>
      <c r="S80" s="5" t="s">
        <v>378</v>
      </c>
      <c r="T80" s="5">
        <v>60</v>
      </c>
      <c r="U80" s="5" t="s">
        <v>43</v>
      </c>
      <c r="V80" s="1"/>
    </row>
    <row r="81" spans="1:22" x14ac:dyDescent="0.45">
      <c r="A81" s="2">
        <v>9</v>
      </c>
      <c r="B81" s="2"/>
      <c r="C81" s="2"/>
      <c r="D81" s="2"/>
      <c r="E81" s="2"/>
      <c r="F81" s="2"/>
      <c r="G81" s="2"/>
      <c r="H81" s="2"/>
      <c r="I81" s="2"/>
      <c r="J81" s="2"/>
      <c r="K81" s="2"/>
      <c r="L81" s="2"/>
      <c r="M81" s="2"/>
      <c r="N81" s="2"/>
      <c r="O81" s="2"/>
      <c r="P81" s="2"/>
      <c r="Q81" s="2"/>
      <c r="S81" s="5" t="s">
        <v>93</v>
      </c>
      <c r="T81" s="5">
        <v>1000</v>
      </c>
      <c r="U81" s="5" t="s">
        <v>45</v>
      </c>
    </row>
    <row r="82" spans="1:22" x14ac:dyDescent="0.45">
      <c r="A82" s="2">
        <v>10</v>
      </c>
      <c r="B82" s="2"/>
      <c r="C82" s="2"/>
      <c r="D82" s="2"/>
      <c r="E82" s="2"/>
      <c r="F82" s="2"/>
      <c r="G82" s="2"/>
      <c r="H82" s="2"/>
      <c r="I82" s="2"/>
      <c r="J82" s="2"/>
      <c r="K82" s="2"/>
      <c r="L82" s="2"/>
      <c r="M82" s="2"/>
      <c r="N82" s="2"/>
      <c r="O82" s="2"/>
      <c r="P82" s="2"/>
      <c r="Q82" s="2"/>
      <c r="S82" s="5" t="s">
        <v>94</v>
      </c>
      <c r="T82" s="5">
        <v>9000</v>
      </c>
      <c r="U82" s="5" t="s">
        <v>45</v>
      </c>
    </row>
    <row r="83" spans="1:22" x14ac:dyDescent="0.4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45">
      <c r="A84" s="2">
        <v>12</v>
      </c>
      <c r="B84" s="2"/>
      <c r="C84" s="2"/>
      <c r="D84" s="2"/>
      <c r="E84" s="2"/>
      <c r="F84" s="2"/>
      <c r="G84" s="2"/>
      <c r="H84" s="2"/>
      <c r="I84" s="2"/>
      <c r="J84" s="2"/>
      <c r="K84" s="2"/>
      <c r="L84" s="2"/>
      <c r="M84" s="2"/>
      <c r="N84" s="2"/>
      <c r="O84" s="2"/>
      <c r="P84" s="2"/>
      <c r="Q84" s="2"/>
      <c r="S84" s="5" t="s">
        <v>42</v>
      </c>
      <c r="T84" s="5">
        <v>2.85</v>
      </c>
      <c r="U84" s="5" t="s">
        <v>44</v>
      </c>
    </row>
    <row r="85" spans="1:22" x14ac:dyDescent="0.45">
      <c r="A85" s="2">
        <v>13</v>
      </c>
      <c r="B85" s="2"/>
      <c r="C85" s="2"/>
      <c r="D85" s="2"/>
      <c r="E85" s="2"/>
      <c r="F85" s="2"/>
      <c r="G85" s="2"/>
      <c r="H85" s="2"/>
      <c r="I85" s="2"/>
      <c r="J85" s="2"/>
      <c r="K85" s="2"/>
      <c r="L85" s="2"/>
      <c r="M85" s="2"/>
      <c r="N85" s="2"/>
      <c r="O85" s="2"/>
      <c r="P85" s="2"/>
      <c r="Q85" s="2"/>
      <c r="S85" s="5" t="s">
        <v>46</v>
      </c>
      <c r="T85" s="5" t="s">
        <v>89</v>
      </c>
      <c r="U85" s="5" t="s">
        <v>98</v>
      </c>
    </row>
    <row r="86" spans="1:22" x14ac:dyDescent="0.45">
      <c r="A86" s="2">
        <v>14</v>
      </c>
      <c r="B86" s="2"/>
      <c r="C86" s="2"/>
      <c r="D86" s="2"/>
      <c r="E86" s="2"/>
      <c r="F86" s="2"/>
      <c r="G86" s="2"/>
      <c r="H86" s="2"/>
      <c r="I86" s="2"/>
      <c r="J86" s="2"/>
      <c r="K86" s="2"/>
      <c r="L86" s="2"/>
      <c r="M86" s="2"/>
      <c r="N86" s="2"/>
      <c r="O86" s="2"/>
      <c r="P86" s="2"/>
      <c r="Q86" s="2"/>
      <c r="S86" s="5" t="s">
        <v>132</v>
      </c>
      <c r="T86" s="5" t="s">
        <v>193</v>
      </c>
      <c r="U86" s="5"/>
    </row>
    <row r="87" spans="1:22" x14ac:dyDescent="0.45">
      <c r="A87" s="2">
        <v>15</v>
      </c>
      <c r="B87" s="2"/>
      <c r="C87" s="2"/>
      <c r="D87" s="2"/>
      <c r="E87" s="2"/>
      <c r="F87" s="2"/>
      <c r="G87" s="2"/>
      <c r="H87" s="2"/>
      <c r="I87" s="2"/>
      <c r="J87" s="2"/>
      <c r="K87" s="2"/>
      <c r="L87" s="2"/>
      <c r="M87" s="2"/>
      <c r="N87" s="2"/>
      <c r="O87" s="2"/>
      <c r="P87" s="2"/>
      <c r="Q87" s="2"/>
      <c r="S87" s="5" t="s">
        <v>192</v>
      </c>
      <c r="T87" s="5" t="s">
        <v>163</v>
      </c>
      <c r="U87" s="5"/>
    </row>
    <row r="88" spans="1:22" x14ac:dyDescent="0.45">
      <c r="A88" s="29"/>
      <c r="B88" s="29"/>
      <c r="C88" s="29"/>
      <c r="D88" s="29"/>
      <c r="E88" s="29"/>
      <c r="F88" s="29"/>
      <c r="G88" s="29"/>
      <c r="H88" s="29"/>
      <c r="I88" s="29"/>
      <c r="J88" s="29"/>
      <c r="K88" s="29"/>
      <c r="L88" s="29"/>
      <c r="M88" s="29"/>
      <c r="N88" s="29"/>
      <c r="O88" s="29"/>
      <c r="P88" s="29"/>
      <c r="Q88" s="29"/>
      <c r="S88" s="5" t="s">
        <v>207</v>
      </c>
      <c r="T88" s="5">
        <v>20</v>
      </c>
      <c r="U88" s="5" t="s">
        <v>44</v>
      </c>
    </row>
    <row r="89" spans="1:22" x14ac:dyDescent="0.45">
      <c r="A89" s="29"/>
      <c r="B89" s="29"/>
      <c r="C89" s="29"/>
      <c r="D89" s="29"/>
      <c r="E89" s="29"/>
      <c r="F89" s="29"/>
      <c r="G89" s="29"/>
      <c r="H89" s="29"/>
      <c r="I89" s="29"/>
      <c r="J89" s="29"/>
      <c r="K89" s="29"/>
      <c r="L89" s="29"/>
      <c r="M89" s="29"/>
      <c r="N89" s="29"/>
      <c r="O89" s="29"/>
      <c r="P89" s="29"/>
      <c r="Q89" s="29"/>
      <c r="S89" s="5" t="s">
        <v>208</v>
      </c>
      <c r="T89" s="5">
        <v>10</v>
      </c>
      <c r="U89" s="5" t="s">
        <v>44</v>
      </c>
    </row>
    <row r="90" spans="1:22" x14ac:dyDescent="0.45">
      <c r="A90" s="29"/>
      <c r="B90" s="29"/>
      <c r="C90" s="29"/>
      <c r="D90" s="29"/>
      <c r="E90" s="29"/>
      <c r="F90" s="29"/>
      <c r="G90" s="29"/>
      <c r="H90" s="29"/>
      <c r="I90" s="29"/>
      <c r="J90" s="29"/>
      <c r="K90" s="29"/>
      <c r="L90" s="29"/>
      <c r="M90" s="29"/>
      <c r="N90" s="29"/>
      <c r="O90" s="29"/>
      <c r="P90" s="29"/>
      <c r="Q90" s="29"/>
      <c r="S90" s="5" t="s">
        <v>209</v>
      </c>
      <c r="T90" s="5">
        <v>0.3</v>
      </c>
      <c r="U90" s="5" t="s">
        <v>44</v>
      </c>
    </row>
    <row r="91" spans="1:22" x14ac:dyDescent="0.45">
      <c r="A91" s="29"/>
      <c r="B91" s="29"/>
      <c r="C91" s="29"/>
      <c r="D91" s="29"/>
      <c r="E91" s="29"/>
      <c r="F91" s="29"/>
      <c r="G91" s="29"/>
      <c r="H91" s="29"/>
      <c r="I91" s="29"/>
      <c r="J91" s="29"/>
      <c r="K91" s="29"/>
      <c r="L91" s="29"/>
      <c r="M91" s="29"/>
      <c r="N91" s="29"/>
      <c r="O91" s="29"/>
      <c r="P91" s="29"/>
      <c r="Q91" s="29"/>
      <c r="S91" s="59" t="s">
        <v>379</v>
      </c>
      <c r="T91" s="5">
        <v>0</v>
      </c>
      <c r="U91" s="5"/>
      <c r="V91" s="1"/>
    </row>
    <row r="92" spans="1:22" x14ac:dyDescent="0.45">
      <c r="A92" s="29"/>
      <c r="B92" s="29"/>
      <c r="C92" s="29"/>
      <c r="D92" s="29"/>
      <c r="E92" s="29"/>
      <c r="F92" s="29"/>
      <c r="G92" s="29"/>
      <c r="H92" s="29"/>
      <c r="I92" s="29"/>
      <c r="J92" s="29"/>
      <c r="K92" s="29"/>
      <c r="L92" s="29"/>
      <c r="M92" s="29"/>
      <c r="N92" s="29"/>
      <c r="O92" s="29"/>
      <c r="P92" s="29"/>
      <c r="Q92" s="29"/>
      <c r="S92" s="5" t="s">
        <v>194</v>
      </c>
      <c r="T92" s="5" t="s">
        <v>206</v>
      </c>
      <c r="U92" s="5" t="s">
        <v>198</v>
      </c>
    </row>
    <row r="93" spans="1:22" x14ac:dyDescent="0.45">
      <c r="A93" s="29"/>
      <c r="B93" s="29"/>
      <c r="C93" s="29"/>
      <c r="D93" s="29"/>
      <c r="E93" s="29"/>
      <c r="F93" s="29"/>
      <c r="G93" s="29"/>
      <c r="H93" s="29"/>
      <c r="I93" s="29"/>
      <c r="J93" s="29"/>
      <c r="K93" s="29"/>
      <c r="L93" s="29"/>
      <c r="M93" s="29"/>
      <c r="N93" s="29"/>
      <c r="O93" s="29"/>
      <c r="P93" s="29"/>
      <c r="Q93" s="29"/>
      <c r="S93" s="5" t="s">
        <v>199</v>
      </c>
      <c r="T93" s="5">
        <v>5</v>
      </c>
      <c r="U93" s="5" t="s">
        <v>44</v>
      </c>
      <c r="V93" s="1"/>
    </row>
    <row r="94" spans="1:22" x14ac:dyDescent="0.45">
      <c r="A94" s="29"/>
      <c r="B94" s="29"/>
      <c r="C94" s="29"/>
      <c r="D94" s="29"/>
      <c r="E94" s="29"/>
      <c r="F94" s="29"/>
      <c r="G94" s="29"/>
      <c r="H94" s="29"/>
      <c r="I94" s="29"/>
      <c r="J94" s="29"/>
      <c r="K94" s="29"/>
      <c r="L94" s="29"/>
      <c r="M94" s="29"/>
      <c r="N94" s="29"/>
      <c r="O94" s="29"/>
      <c r="P94" s="29"/>
      <c r="Q94" s="29"/>
      <c r="S94" s="5" t="s">
        <v>200</v>
      </c>
      <c r="T94" s="5">
        <v>7</v>
      </c>
      <c r="U94" s="5" t="s">
        <v>98</v>
      </c>
    </row>
    <row r="95" spans="1:22" x14ac:dyDescent="0.45">
      <c r="A95" s="29"/>
      <c r="B95" s="29"/>
      <c r="C95" s="29"/>
      <c r="D95" s="29"/>
      <c r="E95" s="29"/>
      <c r="F95" s="29"/>
      <c r="G95" s="29"/>
      <c r="H95" s="29"/>
      <c r="I95" s="29"/>
      <c r="J95" s="29"/>
      <c r="K95" s="29"/>
      <c r="L95" s="29"/>
      <c r="M95" s="29"/>
      <c r="N95" s="29"/>
      <c r="O95" s="29"/>
      <c r="P95" s="29"/>
      <c r="Q95" s="29"/>
      <c r="S95" s="5" t="s">
        <v>201</v>
      </c>
      <c r="T95" s="5">
        <v>2500</v>
      </c>
      <c r="U95" s="5" t="s">
        <v>45</v>
      </c>
    </row>
    <row r="96" spans="1:22" x14ac:dyDescent="0.45">
      <c r="A96" s="29"/>
      <c r="B96" s="29"/>
      <c r="C96" s="29"/>
      <c r="D96" s="29"/>
      <c r="E96" s="29"/>
      <c r="F96" s="29"/>
      <c r="G96" s="29"/>
      <c r="H96" s="29"/>
      <c r="I96" s="29"/>
      <c r="J96" s="29"/>
      <c r="K96" s="29"/>
      <c r="L96" s="29"/>
      <c r="M96" s="29"/>
      <c r="N96" s="29"/>
      <c r="O96" s="29"/>
      <c r="P96" s="29"/>
      <c r="Q96" s="29"/>
      <c r="S96" s="5" t="s">
        <v>202</v>
      </c>
      <c r="T96" s="5">
        <f>-T94</f>
        <v>-7</v>
      </c>
      <c r="U96" s="5" t="s">
        <v>98</v>
      </c>
    </row>
    <row r="97" spans="1:46" x14ac:dyDescent="0.45">
      <c r="A97" s="29"/>
      <c r="B97" s="29"/>
      <c r="C97" s="29"/>
      <c r="D97" s="29"/>
      <c r="E97" s="29"/>
      <c r="F97" s="29"/>
      <c r="G97" s="29"/>
      <c r="H97" s="29"/>
      <c r="I97" s="29"/>
      <c r="J97" s="29"/>
      <c r="K97" s="29"/>
      <c r="L97" s="29"/>
      <c r="M97" s="29"/>
      <c r="N97" s="29"/>
      <c r="O97" s="29"/>
      <c r="P97" s="29"/>
      <c r="Q97" s="29"/>
      <c r="S97" s="3" t="s">
        <v>203</v>
      </c>
      <c r="T97" s="3">
        <f>T95</f>
        <v>2500</v>
      </c>
      <c r="U97" s="5" t="s">
        <v>45</v>
      </c>
    </row>
    <row r="98" spans="1:46" x14ac:dyDescent="0.45">
      <c r="A98" s="29"/>
      <c r="B98" s="29"/>
      <c r="C98" s="29"/>
      <c r="D98" s="29"/>
      <c r="E98" s="29"/>
      <c r="F98" s="29"/>
      <c r="G98" s="29"/>
      <c r="H98" s="29"/>
      <c r="I98" s="29"/>
      <c r="J98" s="29"/>
      <c r="K98" s="29"/>
      <c r="L98" s="29"/>
      <c r="M98" s="29"/>
      <c r="N98" s="29"/>
      <c r="O98" s="29"/>
      <c r="P98" s="29"/>
      <c r="Q98" s="29"/>
      <c r="S98" s="3" t="s">
        <v>204</v>
      </c>
      <c r="T98" s="3">
        <v>0.2</v>
      </c>
      <c r="U98" s="5" t="s">
        <v>44</v>
      </c>
    </row>
    <row r="99" spans="1:46" x14ac:dyDescent="0.45">
      <c r="A99" s="29"/>
      <c r="B99" s="29"/>
      <c r="C99" s="29"/>
      <c r="D99" s="29"/>
      <c r="E99" s="29"/>
      <c r="F99" s="29"/>
      <c r="G99" s="29"/>
      <c r="H99" s="29"/>
      <c r="I99" s="29"/>
      <c r="J99" s="29"/>
      <c r="K99" s="29"/>
      <c r="L99" s="29"/>
      <c r="M99" s="29"/>
      <c r="N99" s="29"/>
      <c r="O99" s="29"/>
      <c r="P99" s="29"/>
      <c r="Q99" s="29"/>
      <c r="S99" s="3" t="s">
        <v>205</v>
      </c>
      <c r="T99" s="3">
        <v>7500</v>
      </c>
      <c r="U99" s="5" t="s">
        <v>45</v>
      </c>
    </row>
    <row r="100" spans="1:46" x14ac:dyDescent="0.45">
      <c r="A100" s="29"/>
      <c r="B100" s="29"/>
      <c r="C100" s="29"/>
      <c r="D100" s="29"/>
      <c r="E100" s="29"/>
      <c r="F100" s="29"/>
      <c r="G100" s="29"/>
      <c r="H100" s="29"/>
      <c r="I100" s="29"/>
      <c r="J100" s="29"/>
      <c r="K100" s="29"/>
      <c r="L100" s="29"/>
      <c r="M100" s="29"/>
      <c r="N100" s="29"/>
      <c r="O100" s="29"/>
      <c r="P100" s="29"/>
      <c r="Q100" s="29"/>
      <c r="S100" s="29"/>
      <c r="T100" s="29"/>
      <c r="U100" s="72"/>
      <c r="V100" s="29"/>
      <c r="W100" s="29"/>
      <c r="X100" s="29"/>
      <c r="Y100" s="29"/>
      <c r="Z100" s="29"/>
      <c r="AA100" s="29"/>
      <c r="AB100" s="29"/>
      <c r="AC100" s="29"/>
      <c r="AD100" s="29"/>
      <c r="AE100" s="29"/>
      <c r="AF100" s="29"/>
    </row>
    <row r="101" spans="1:46" x14ac:dyDescent="0.45">
      <c r="A101" s="29"/>
      <c r="B101" s="29"/>
      <c r="C101" s="29"/>
      <c r="D101" s="29"/>
      <c r="E101" s="29"/>
      <c r="F101" s="29"/>
      <c r="G101" s="29"/>
      <c r="H101" s="29"/>
      <c r="I101" s="29"/>
      <c r="J101" s="29"/>
      <c r="K101" s="29"/>
      <c r="L101" s="29"/>
      <c r="M101" s="29"/>
      <c r="N101" s="29"/>
      <c r="O101" s="29"/>
      <c r="P101" s="29"/>
      <c r="Q101" s="29"/>
      <c r="S101" s="77" t="s">
        <v>332</v>
      </c>
      <c r="T101" s="77" t="s">
        <v>333</v>
      </c>
      <c r="U101" s="78" t="s">
        <v>371</v>
      </c>
      <c r="V101" s="29"/>
      <c r="W101" s="29"/>
      <c r="X101" s="29"/>
      <c r="Y101" s="29"/>
      <c r="Z101" s="29"/>
      <c r="AA101" s="29"/>
      <c r="AB101" s="29"/>
      <c r="AC101" s="29"/>
      <c r="AD101" s="29"/>
      <c r="AE101" s="29"/>
      <c r="AF101" s="29"/>
    </row>
    <row r="102" spans="1:46" x14ac:dyDescent="0.45">
      <c r="A102" s="29"/>
      <c r="B102" s="29"/>
      <c r="C102" s="29"/>
      <c r="D102" s="29"/>
      <c r="E102" s="29"/>
      <c r="F102" s="29"/>
      <c r="G102" s="29"/>
      <c r="H102" s="29"/>
      <c r="I102" s="29"/>
      <c r="J102" s="29"/>
      <c r="K102" s="29"/>
      <c r="L102" s="29"/>
      <c r="M102" s="29"/>
      <c r="N102" s="29"/>
      <c r="O102" s="29"/>
      <c r="P102" s="29"/>
      <c r="Q102" s="29"/>
      <c r="R102" s="29"/>
      <c r="S102" s="57"/>
      <c r="T102" s="57"/>
      <c r="U102" s="73" t="s">
        <v>134</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45">
      <c r="A103" s="29"/>
      <c r="B103" s="29"/>
      <c r="C103" s="29"/>
      <c r="D103" s="29"/>
      <c r="E103" s="29"/>
      <c r="F103" s="29"/>
      <c r="G103" s="29"/>
      <c r="H103" s="29"/>
      <c r="I103" s="29"/>
      <c r="J103" s="29"/>
      <c r="K103" s="29"/>
      <c r="L103" s="29"/>
      <c r="M103" s="29"/>
      <c r="N103" s="29"/>
      <c r="O103" s="29"/>
      <c r="P103" s="29"/>
      <c r="Q103" s="29"/>
      <c r="R103" s="29"/>
      <c r="S103" s="57"/>
      <c r="T103" s="57"/>
      <c r="U103" s="73" t="s">
        <v>134</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45">
      <c r="A105" s="47" t="s">
        <v>169</v>
      </c>
      <c r="B105" s="2" t="s">
        <v>432</v>
      </c>
      <c r="C105" s="47" t="s">
        <v>168</v>
      </c>
      <c r="D105" s="2" t="s">
        <v>387</v>
      </c>
      <c r="E105" s="29"/>
      <c r="F105" s="29"/>
      <c r="G105" s="29"/>
      <c r="H105" s="29"/>
      <c r="I105" s="29"/>
      <c r="J105" s="29"/>
      <c r="K105" s="29"/>
      <c r="L105" s="29"/>
      <c r="M105" s="29"/>
      <c r="N105" s="29"/>
      <c r="O105" s="29"/>
      <c r="P105" s="29"/>
      <c r="U105" s="70"/>
      <c r="AO105" t="s">
        <v>170</v>
      </c>
      <c r="AP105" t="s">
        <v>433</v>
      </c>
      <c r="AQ105" t="s">
        <v>169</v>
      </c>
      <c r="AR105" t="s">
        <v>432</v>
      </c>
      <c r="AS105" t="s">
        <v>168</v>
      </c>
      <c r="AT105" t="s">
        <v>387</v>
      </c>
    </row>
    <row r="106" spans="1:46" x14ac:dyDescent="0.45">
      <c r="A106" s="35" t="s">
        <v>0</v>
      </c>
      <c r="B106" s="36"/>
      <c r="C106" s="18"/>
      <c r="D106" s="18"/>
      <c r="E106" s="18"/>
      <c r="F106" s="18"/>
      <c r="G106" s="18"/>
      <c r="H106" s="18"/>
      <c r="I106" s="18"/>
      <c r="J106" s="18"/>
      <c r="K106" s="18"/>
      <c r="L106" s="18"/>
      <c r="M106" s="18"/>
      <c r="N106" s="18"/>
      <c r="O106" s="18"/>
      <c r="P106" s="18"/>
      <c r="Q106" s="47" t="s">
        <v>329</v>
      </c>
      <c r="U106" s="70"/>
    </row>
    <row r="107" spans="1:46" x14ac:dyDescent="0.45">
      <c r="A107" s="20">
        <v>1</v>
      </c>
      <c r="B107" s="94" t="s">
        <v>1</v>
      </c>
      <c r="C107" s="20" t="s">
        <v>18</v>
      </c>
      <c r="D107" s="20">
        <v>50</v>
      </c>
      <c r="E107" s="20">
        <v>50</v>
      </c>
      <c r="F107" s="20">
        <v>0</v>
      </c>
      <c r="G107" s="20" t="s">
        <v>395</v>
      </c>
      <c r="H107" s="20" t="s">
        <v>124</v>
      </c>
      <c r="I107" s="20" t="s">
        <v>124</v>
      </c>
      <c r="J107" s="20" t="s">
        <v>19</v>
      </c>
      <c r="K107" s="20">
        <v>0.5</v>
      </c>
      <c r="L107" s="20">
        <v>0.2</v>
      </c>
      <c r="M107" s="20"/>
      <c r="N107" s="20"/>
      <c r="O107" s="20"/>
      <c r="P107" s="20"/>
      <c r="Q107" s="20"/>
      <c r="S107" s="76" t="s">
        <v>40</v>
      </c>
      <c r="T107" s="3"/>
      <c r="U107" s="5"/>
    </row>
    <row r="108" spans="1:46" x14ac:dyDescent="0.45">
      <c r="A108" s="20">
        <v>2</v>
      </c>
      <c r="B108" s="94" t="s">
        <v>1</v>
      </c>
      <c r="C108" s="20" t="s">
        <v>18</v>
      </c>
      <c r="D108" s="20" t="s">
        <v>124</v>
      </c>
      <c r="E108" s="20" t="s">
        <v>124</v>
      </c>
      <c r="F108" s="20" t="s">
        <v>124</v>
      </c>
      <c r="G108" s="20" t="s">
        <v>124</v>
      </c>
      <c r="H108" s="20" t="s">
        <v>395</v>
      </c>
      <c r="I108" s="20" t="s">
        <v>124</v>
      </c>
      <c r="J108" s="20" t="s">
        <v>19</v>
      </c>
      <c r="K108" s="20">
        <v>0.5</v>
      </c>
      <c r="L108" s="20">
        <v>0.2</v>
      </c>
      <c r="M108" s="20"/>
      <c r="N108" s="20"/>
      <c r="O108" s="20"/>
      <c r="P108" s="20"/>
      <c r="Q108" s="20"/>
      <c r="S108" s="5" t="s">
        <v>122</v>
      </c>
      <c r="T108" s="5">
        <v>0.2</v>
      </c>
      <c r="U108" s="5" t="s">
        <v>44</v>
      </c>
    </row>
    <row r="109" spans="1:46" x14ac:dyDescent="0.45">
      <c r="A109" s="20">
        <v>3</v>
      </c>
      <c r="B109" s="94" t="s">
        <v>1</v>
      </c>
      <c r="C109" s="20" t="s">
        <v>18</v>
      </c>
      <c r="D109" s="20" t="s">
        <v>124</v>
      </c>
      <c r="E109" s="20" t="s">
        <v>124</v>
      </c>
      <c r="F109" s="20" t="s">
        <v>124</v>
      </c>
      <c r="G109" s="20" t="s">
        <v>402</v>
      </c>
      <c r="H109" s="20" t="s">
        <v>124</v>
      </c>
      <c r="I109" s="20" t="s">
        <v>124</v>
      </c>
      <c r="J109" s="20" t="s">
        <v>19</v>
      </c>
      <c r="K109" s="20">
        <v>0.5</v>
      </c>
      <c r="L109" s="20">
        <v>0.2</v>
      </c>
      <c r="M109" s="20"/>
      <c r="N109" s="20"/>
      <c r="O109" s="20"/>
      <c r="P109" s="20"/>
      <c r="Q109" s="20"/>
      <c r="S109" s="5" t="s">
        <v>95</v>
      </c>
      <c r="T109" s="5">
        <v>1</v>
      </c>
      <c r="U109" s="5" t="s">
        <v>97</v>
      </c>
    </row>
    <row r="110" spans="1:46" x14ac:dyDescent="0.45">
      <c r="A110" s="20">
        <v>4</v>
      </c>
      <c r="B110" s="94" t="s">
        <v>1</v>
      </c>
      <c r="C110" s="20" t="s">
        <v>18</v>
      </c>
      <c r="D110" s="20" t="s">
        <v>124</v>
      </c>
      <c r="E110" s="20" t="s">
        <v>124</v>
      </c>
      <c r="F110" s="20" t="s">
        <v>124</v>
      </c>
      <c r="G110" s="20" t="s">
        <v>124</v>
      </c>
      <c r="H110" s="20" t="s">
        <v>402</v>
      </c>
      <c r="I110" s="20" t="s">
        <v>124</v>
      </c>
      <c r="J110" s="20" t="s">
        <v>19</v>
      </c>
      <c r="K110" s="20">
        <v>0.5</v>
      </c>
      <c r="L110" s="20">
        <v>0.2</v>
      </c>
      <c r="M110" s="20"/>
      <c r="N110" s="20"/>
      <c r="O110" s="20"/>
      <c r="P110" s="20"/>
      <c r="Q110" s="20"/>
      <c r="S110" s="5" t="s">
        <v>96</v>
      </c>
      <c r="T110" s="5">
        <v>1</v>
      </c>
      <c r="U110" s="5" t="s">
        <v>97</v>
      </c>
    </row>
    <row r="111" spans="1:46" x14ac:dyDescent="0.45">
      <c r="A111" s="20">
        <v>5</v>
      </c>
      <c r="B111" s="94" t="s">
        <v>56</v>
      </c>
      <c r="C111" s="93" t="s">
        <v>310</v>
      </c>
      <c r="D111" s="20">
        <v>0</v>
      </c>
      <c r="E111" s="20">
        <v>0</v>
      </c>
      <c r="F111" s="20">
        <v>0.2</v>
      </c>
      <c r="G111" s="20">
        <v>100</v>
      </c>
      <c r="H111" s="20"/>
      <c r="I111" s="20"/>
      <c r="J111" s="20"/>
      <c r="K111" s="20"/>
      <c r="L111" s="20"/>
      <c r="M111" s="20"/>
      <c r="N111" s="20"/>
      <c r="O111" s="20"/>
      <c r="P111" s="20"/>
      <c r="Q111" s="20"/>
      <c r="S111" s="5" t="s">
        <v>233</v>
      </c>
      <c r="T111" s="5" t="s">
        <v>244</v>
      </c>
      <c r="U111" s="5"/>
    </row>
    <row r="112" spans="1:46" x14ac:dyDescent="0.45">
      <c r="A112" s="20">
        <v>6</v>
      </c>
      <c r="B112" s="98" t="s">
        <v>53</v>
      </c>
      <c r="C112" s="37">
        <v>5</v>
      </c>
      <c r="D112" s="99">
        <v>2</v>
      </c>
      <c r="E112" s="37">
        <v>50</v>
      </c>
      <c r="F112" s="37">
        <v>100</v>
      </c>
      <c r="G112" s="37" t="s">
        <v>28</v>
      </c>
      <c r="H112" s="37">
        <v>0.2</v>
      </c>
      <c r="I112" s="37">
        <v>0</v>
      </c>
      <c r="J112" s="37">
        <v>0</v>
      </c>
      <c r="K112" s="37" t="s">
        <v>143</v>
      </c>
      <c r="L112" s="37" t="s">
        <v>143</v>
      </c>
      <c r="M112" s="37"/>
      <c r="N112" s="37"/>
      <c r="O112" s="37"/>
      <c r="P112" s="37"/>
      <c r="Q112" s="37"/>
      <c r="S112" s="5" t="s">
        <v>234</v>
      </c>
      <c r="T112" s="5">
        <v>0</v>
      </c>
      <c r="U112" s="5"/>
    </row>
    <row r="113" spans="1:22" x14ac:dyDescent="0.45">
      <c r="A113" s="20">
        <v>7</v>
      </c>
      <c r="B113" s="98" t="s">
        <v>53</v>
      </c>
      <c r="C113" s="37">
        <v>5</v>
      </c>
      <c r="D113" s="99">
        <v>1</v>
      </c>
      <c r="E113" s="37">
        <v>50</v>
      </c>
      <c r="F113" s="37">
        <v>100</v>
      </c>
      <c r="G113" s="37" t="s">
        <v>28</v>
      </c>
      <c r="H113" s="37">
        <v>0.2</v>
      </c>
      <c r="I113" s="37">
        <v>0</v>
      </c>
      <c r="J113" s="37">
        <v>0</v>
      </c>
      <c r="K113" s="37" t="s">
        <v>431</v>
      </c>
      <c r="L113" s="37" t="s">
        <v>143</v>
      </c>
      <c r="M113" s="37"/>
      <c r="N113" s="37"/>
      <c r="O113" s="37"/>
      <c r="P113" s="37"/>
      <c r="Q113" s="37"/>
      <c r="S113" s="46"/>
      <c r="T113" s="46"/>
      <c r="U113" s="71"/>
    </row>
    <row r="114" spans="1:22" x14ac:dyDescent="0.45">
      <c r="A114" s="20">
        <v>8</v>
      </c>
      <c r="B114" s="98" t="s">
        <v>53</v>
      </c>
      <c r="C114" s="37">
        <v>5</v>
      </c>
      <c r="D114" s="99">
        <v>3</v>
      </c>
      <c r="E114" s="37">
        <v>50</v>
      </c>
      <c r="F114" s="37">
        <v>100</v>
      </c>
      <c r="G114" s="37" t="s">
        <v>28</v>
      </c>
      <c r="H114" s="37">
        <v>0.2</v>
      </c>
      <c r="I114" s="37">
        <v>0</v>
      </c>
      <c r="J114" s="37">
        <v>0</v>
      </c>
      <c r="K114" s="37" t="s">
        <v>143</v>
      </c>
      <c r="L114" s="37" t="s">
        <v>431</v>
      </c>
      <c r="M114" s="37"/>
      <c r="N114" s="37"/>
      <c r="O114" s="37"/>
      <c r="P114" s="37"/>
      <c r="Q114" s="37"/>
      <c r="S114" s="5" t="s">
        <v>378</v>
      </c>
      <c r="T114" s="5">
        <v>60</v>
      </c>
      <c r="U114" s="5" t="s">
        <v>43</v>
      </c>
      <c r="V114" s="1"/>
    </row>
    <row r="115" spans="1:22" x14ac:dyDescent="0.45">
      <c r="A115" s="20">
        <v>9</v>
      </c>
      <c r="B115" s="95" t="s">
        <v>331</v>
      </c>
      <c r="C115" s="96">
        <v>5</v>
      </c>
      <c r="D115" s="97">
        <v>2</v>
      </c>
      <c r="E115" s="96">
        <v>50</v>
      </c>
      <c r="F115" s="96">
        <v>100</v>
      </c>
      <c r="G115" s="96" t="s">
        <v>162</v>
      </c>
      <c r="H115" s="96">
        <v>5.0000000000000001E-3</v>
      </c>
      <c r="I115" s="96">
        <v>0</v>
      </c>
      <c r="J115" s="96">
        <v>0</v>
      </c>
      <c r="K115" s="96" t="s">
        <v>143</v>
      </c>
      <c r="L115" s="96" t="s">
        <v>143</v>
      </c>
      <c r="M115" s="96"/>
      <c r="N115" s="96"/>
      <c r="O115" s="96"/>
      <c r="P115" s="96"/>
      <c r="Q115" s="96"/>
      <c r="S115" s="5" t="s">
        <v>93</v>
      </c>
      <c r="T115" s="5">
        <v>1000</v>
      </c>
      <c r="U115" s="5" t="s">
        <v>45</v>
      </c>
    </row>
    <row r="116" spans="1:22" x14ac:dyDescent="0.45">
      <c r="A116" s="20">
        <v>10</v>
      </c>
      <c r="B116" s="95" t="s">
        <v>331</v>
      </c>
      <c r="C116" s="96">
        <v>5</v>
      </c>
      <c r="D116" s="97">
        <v>1</v>
      </c>
      <c r="E116" s="96">
        <v>50</v>
      </c>
      <c r="F116" s="96">
        <v>100</v>
      </c>
      <c r="G116" s="96" t="s">
        <v>162</v>
      </c>
      <c r="H116" s="96">
        <v>5.0000000000000001E-3</v>
      </c>
      <c r="I116" s="96">
        <v>0</v>
      </c>
      <c r="J116" s="96">
        <v>0</v>
      </c>
      <c r="K116" s="96" t="s">
        <v>431</v>
      </c>
      <c r="L116" s="96" t="s">
        <v>143</v>
      </c>
      <c r="M116" s="96"/>
      <c r="N116" s="96"/>
      <c r="O116" s="96"/>
      <c r="P116" s="96"/>
      <c r="Q116" s="96"/>
      <c r="S116" s="5" t="s">
        <v>94</v>
      </c>
      <c r="T116" s="5">
        <v>9000</v>
      </c>
      <c r="U116" s="5" t="s">
        <v>45</v>
      </c>
    </row>
    <row r="117" spans="1:22" x14ac:dyDescent="0.45">
      <c r="A117" s="20">
        <v>11</v>
      </c>
      <c r="B117" s="95" t="s">
        <v>331</v>
      </c>
      <c r="C117" s="96">
        <v>5</v>
      </c>
      <c r="D117" s="97">
        <v>3</v>
      </c>
      <c r="E117" s="96">
        <v>50</v>
      </c>
      <c r="F117" s="96">
        <v>100</v>
      </c>
      <c r="G117" s="96" t="s">
        <v>162</v>
      </c>
      <c r="H117" s="96">
        <v>5.0000000000000001E-3</v>
      </c>
      <c r="I117" s="96">
        <v>0</v>
      </c>
      <c r="J117" s="96">
        <v>0</v>
      </c>
      <c r="K117" s="96" t="s">
        <v>143</v>
      </c>
      <c r="L117" s="96" t="s">
        <v>431</v>
      </c>
      <c r="M117" s="96"/>
      <c r="N117" s="96"/>
      <c r="O117" s="96"/>
      <c r="P117" s="96"/>
      <c r="Q117" s="96"/>
      <c r="S117" s="5" t="s">
        <v>41</v>
      </c>
      <c r="T117" s="5">
        <v>210</v>
      </c>
      <c r="U117" s="5" t="s">
        <v>43</v>
      </c>
      <c r="V117" s="1"/>
    </row>
    <row r="118" spans="1:22" x14ac:dyDescent="0.45">
      <c r="A118" s="20">
        <v>12</v>
      </c>
      <c r="B118" s="100" t="s">
        <v>331</v>
      </c>
      <c r="C118" s="38">
        <v>5</v>
      </c>
      <c r="D118" s="101" t="s">
        <v>310</v>
      </c>
      <c r="E118" s="38">
        <v>50</v>
      </c>
      <c r="F118" s="38">
        <v>100</v>
      </c>
      <c r="G118" s="38" t="s">
        <v>25</v>
      </c>
      <c r="H118" s="38">
        <v>60</v>
      </c>
      <c r="I118" s="38">
        <v>60</v>
      </c>
      <c r="J118" s="38">
        <v>45</v>
      </c>
      <c r="K118" s="38">
        <v>0</v>
      </c>
      <c r="L118" s="38" t="s">
        <v>143</v>
      </c>
      <c r="M118" s="38" t="s">
        <v>143</v>
      </c>
      <c r="N118" s="38"/>
      <c r="O118" s="38"/>
      <c r="P118" s="38"/>
      <c r="Q118" s="38"/>
      <c r="S118" s="5" t="s">
        <v>42</v>
      </c>
      <c r="T118" s="5">
        <v>2.85</v>
      </c>
      <c r="U118" s="5" t="s">
        <v>44</v>
      </c>
    </row>
    <row r="119" spans="1:22" x14ac:dyDescent="0.45">
      <c r="A119" s="20">
        <v>13</v>
      </c>
      <c r="B119" s="100" t="s">
        <v>331</v>
      </c>
      <c r="C119" s="38">
        <v>5</v>
      </c>
      <c r="D119" s="101" t="s">
        <v>310</v>
      </c>
      <c r="E119" s="38">
        <v>50</v>
      </c>
      <c r="F119" s="38">
        <v>100</v>
      </c>
      <c r="G119" s="38" t="s">
        <v>26</v>
      </c>
      <c r="H119" s="38">
        <v>50</v>
      </c>
      <c r="I119" s="38">
        <v>50</v>
      </c>
      <c r="J119" s="38">
        <v>0</v>
      </c>
      <c r="K119" s="38">
        <v>0.2</v>
      </c>
      <c r="L119" s="38" t="s">
        <v>143</v>
      </c>
      <c r="M119" s="38" t="s">
        <v>143</v>
      </c>
      <c r="N119" s="38"/>
      <c r="O119" s="38"/>
      <c r="P119" s="38"/>
      <c r="Q119" s="38"/>
      <c r="S119" s="5" t="s">
        <v>46</v>
      </c>
      <c r="T119" s="5" t="s">
        <v>89</v>
      </c>
      <c r="U119" s="5" t="s">
        <v>98</v>
      </c>
    </row>
    <row r="120" spans="1:22" x14ac:dyDescent="0.45">
      <c r="A120" s="20">
        <v>14</v>
      </c>
      <c r="B120" s="100" t="s">
        <v>331</v>
      </c>
      <c r="C120" s="38">
        <v>5</v>
      </c>
      <c r="D120" s="101" t="s">
        <v>310</v>
      </c>
      <c r="E120" s="38">
        <v>50</v>
      </c>
      <c r="F120" s="38">
        <v>100</v>
      </c>
      <c r="G120" s="38" t="s">
        <v>15</v>
      </c>
      <c r="H120" s="38">
        <v>1</v>
      </c>
      <c r="I120" s="38"/>
      <c r="J120" s="38" t="s">
        <v>224</v>
      </c>
      <c r="K120" s="38"/>
      <c r="L120" s="38"/>
      <c r="M120" s="38"/>
      <c r="N120" s="38"/>
      <c r="O120" s="38"/>
      <c r="P120" s="38"/>
      <c r="Q120" s="38"/>
      <c r="S120" s="5" t="s">
        <v>132</v>
      </c>
      <c r="T120" s="5" t="s">
        <v>193</v>
      </c>
      <c r="U120" s="5"/>
    </row>
    <row r="121" spans="1:22" x14ac:dyDescent="0.45">
      <c r="A121" s="20">
        <v>15</v>
      </c>
      <c r="B121" s="100" t="s">
        <v>331</v>
      </c>
      <c r="C121" s="38">
        <v>5</v>
      </c>
      <c r="D121" s="101" t="s">
        <v>310</v>
      </c>
      <c r="E121" s="38">
        <v>50</v>
      </c>
      <c r="F121" s="38">
        <v>100</v>
      </c>
      <c r="G121" s="38" t="s">
        <v>24</v>
      </c>
      <c r="H121" s="38">
        <v>0.01</v>
      </c>
      <c r="I121" s="38"/>
      <c r="J121" s="38" t="s">
        <v>225</v>
      </c>
      <c r="K121" s="38"/>
      <c r="L121" s="38"/>
      <c r="M121" s="38"/>
      <c r="N121" s="38"/>
      <c r="O121" s="38"/>
      <c r="P121" s="38"/>
      <c r="Q121" s="38"/>
      <c r="S121" s="5" t="s">
        <v>192</v>
      </c>
      <c r="T121" s="5" t="s">
        <v>163</v>
      </c>
      <c r="U121" s="5"/>
    </row>
    <row r="122" spans="1:22" x14ac:dyDescent="0.45">
      <c r="A122" s="20">
        <v>16</v>
      </c>
      <c r="B122" s="100" t="s">
        <v>331</v>
      </c>
      <c r="C122" s="38">
        <v>5</v>
      </c>
      <c r="D122" s="101" t="s">
        <v>310</v>
      </c>
      <c r="E122" s="38">
        <v>50</v>
      </c>
      <c r="F122" s="38">
        <v>100</v>
      </c>
      <c r="G122" s="38" t="s">
        <v>173</v>
      </c>
      <c r="H122" s="38" t="s">
        <v>27</v>
      </c>
      <c r="I122" s="38"/>
      <c r="J122" s="38" t="s">
        <v>228</v>
      </c>
      <c r="K122" s="38"/>
      <c r="L122" s="38"/>
      <c r="M122" s="38"/>
      <c r="N122" s="38"/>
      <c r="O122" s="38"/>
      <c r="P122" s="38"/>
      <c r="Q122" s="38"/>
      <c r="S122" s="5" t="s">
        <v>207</v>
      </c>
      <c r="T122" s="5">
        <v>20</v>
      </c>
      <c r="U122" s="5" t="s">
        <v>44</v>
      </c>
    </row>
    <row r="123" spans="1:22" x14ac:dyDescent="0.45">
      <c r="A123" s="20">
        <v>17</v>
      </c>
      <c r="B123" s="100" t="s">
        <v>331</v>
      </c>
      <c r="C123" s="38">
        <v>5</v>
      </c>
      <c r="D123" s="101" t="s">
        <v>310</v>
      </c>
      <c r="E123" s="38">
        <v>50</v>
      </c>
      <c r="F123" s="38">
        <v>100</v>
      </c>
      <c r="G123" s="38" t="s">
        <v>172</v>
      </c>
      <c r="H123" s="38">
        <v>10</v>
      </c>
      <c r="I123" s="38"/>
      <c r="J123" s="38" t="s">
        <v>229</v>
      </c>
      <c r="K123" s="38"/>
      <c r="L123" s="38"/>
      <c r="M123" s="38"/>
      <c r="N123" s="38"/>
      <c r="O123" s="38"/>
      <c r="P123" s="38"/>
      <c r="Q123" s="38"/>
      <c r="S123" s="5" t="s">
        <v>208</v>
      </c>
      <c r="T123" s="5">
        <v>10</v>
      </c>
      <c r="U123" s="5" t="s">
        <v>44</v>
      </c>
    </row>
    <row r="124" spans="1:22" x14ac:dyDescent="0.45">
      <c r="A124" s="20">
        <v>18</v>
      </c>
      <c r="B124" s="20"/>
      <c r="C124" s="20"/>
      <c r="D124" s="20"/>
      <c r="E124" s="20"/>
      <c r="F124" s="20"/>
      <c r="G124" s="20"/>
      <c r="H124" s="20"/>
      <c r="I124" s="20"/>
      <c r="J124" s="20"/>
      <c r="K124" s="20"/>
      <c r="L124" s="20"/>
      <c r="M124" s="20"/>
      <c r="N124" s="20"/>
      <c r="O124" s="20"/>
      <c r="P124" s="20"/>
      <c r="Q124" s="20"/>
      <c r="S124" s="5" t="s">
        <v>209</v>
      </c>
      <c r="T124" s="5">
        <v>0.3</v>
      </c>
      <c r="U124" s="5" t="s">
        <v>44</v>
      </c>
    </row>
    <row r="125" spans="1:22" x14ac:dyDescent="0.45">
      <c r="A125" s="20">
        <v>19</v>
      </c>
      <c r="B125" s="20"/>
      <c r="C125" s="20"/>
      <c r="D125" s="20"/>
      <c r="E125" s="20"/>
      <c r="F125" s="20"/>
      <c r="G125" s="20"/>
      <c r="H125" s="20"/>
      <c r="I125" s="20"/>
      <c r="J125" s="20"/>
      <c r="K125" s="20"/>
      <c r="L125" s="20"/>
      <c r="M125" s="20"/>
      <c r="N125" s="20"/>
      <c r="O125" s="20"/>
      <c r="P125" s="20"/>
      <c r="Q125" s="20"/>
      <c r="S125" s="59" t="s">
        <v>379</v>
      </c>
      <c r="T125" s="5">
        <v>0</v>
      </c>
      <c r="U125" s="5"/>
      <c r="V125" s="1"/>
    </row>
    <row r="126" spans="1:22" x14ac:dyDescent="0.45">
      <c r="A126" s="29"/>
      <c r="B126" s="29"/>
      <c r="C126" s="29"/>
      <c r="D126" s="29"/>
      <c r="E126" s="29"/>
      <c r="F126" s="29"/>
      <c r="G126" s="29"/>
      <c r="H126" s="29"/>
      <c r="I126" s="29"/>
      <c r="J126" s="29"/>
      <c r="K126" s="29"/>
      <c r="L126" s="29"/>
      <c r="M126" s="29"/>
      <c r="N126" s="29"/>
      <c r="O126" s="29"/>
      <c r="P126" s="29"/>
      <c r="Q126" s="29"/>
      <c r="S126" s="5" t="s">
        <v>194</v>
      </c>
      <c r="T126" s="5" t="s">
        <v>206</v>
      </c>
      <c r="U126" s="5" t="s">
        <v>198</v>
      </c>
    </row>
    <row r="127" spans="1:22" x14ac:dyDescent="0.45">
      <c r="A127" s="29"/>
      <c r="B127" s="29"/>
      <c r="C127" s="29"/>
      <c r="D127" s="29"/>
      <c r="E127" s="29"/>
      <c r="F127" s="29"/>
      <c r="G127" s="29"/>
      <c r="H127" s="29"/>
      <c r="I127" s="29"/>
      <c r="J127" s="29"/>
      <c r="K127" s="29"/>
      <c r="L127" s="29"/>
      <c r="M127" s="29"/>
      <c r="N127" s="29"/>
      <c r="O127" s="29"/>
      <c r="P127" s="29"/>
      <c r="Q127" s="29"/>
      <c r="S127" s="5" t="s">
        <v>199</v>
      </c>
      <c r="T127" s="5">
        <v>5</v>
      </c>
      <c r="U127" s="5" t="s">
        <v>44</v>
      </c>
      <c r="V127" s="1"/>
    </row>
    <row r="128" spans="1:22" x14ac:dyDescent="0.45">
      <c r="A128" s="29"/>
      <c r="B128" s="29"/>
      <c r="C128" s="29"/>
      <c r="D128" s="29"/>
      <c r="E128" s="29"/>
      <c r="F128" s="29"/>
      <c r="G128" s="29"/>
      <c r="H128" s="29"/>
      <c r="I128" s="29"/>
      <c r="J128" s="29"/>
      <c r="K128" s="29"/>
      <c r="L128" s="29"/>
      <c r="M128" s="29"/>
      <c r="N128" s="29"/>
      <c r="O128" s="29"/>
      <c r="P128" s="29"/>
      <c r="Q128" s="29"/>
      <c r="S128" s="5" t="s">
        <v>200</v>
      </c>
      <c r="T128" s="5">
        <v>7</v>
      </c>
      <c r="U128" s="5" t="s">
        <v>98</v>
      </c>
    </row>
    <row r="129" spans="1:32" x14ac:dyDescent="0.45">
      <c r="A129" s="29"/>
      <c r="B129" s="29"/>
      <c r="C129" s="29"/>
      <c r="D129" s="29"/>
      <c r="E129" s="29"/>
      <c r="F129" s="29"/>
      <c r="G129" s="29"/>
      <c r="H129" s="29"/>
      <c r="I129" s="29"/>
      <c r="J129" s="29"/>
      <c r="K129" s="29"/>
      <c r="L129" s="29"/>
      <c r="M129" s="29"/>
      <c r="N129" s="29"/>
      <c r="O129" s="29"/>
      <c r="P129" s="29"/>
      <c r="Q129" s="29"/>
      <c r="S129" s="5" t="s">
        <v>201</v>
      </c>
      <c r="T129" s="5">
        <v>2500</v>
      </c>
      <c r="U129" s="5" t="s">
        <v>45</v>
      </c>
    </row>
    <row r="130" spans="1:32" x14ac:dyDescent="0.45">
      <c r="A130" s="29"/>
      <c r="B130" s="29"/>
      <c r="C130" s="29"/>
      <c r="D130" s="29"/>
      <c r="E130" s="29"/>
      <c r="F130" s="29"/>
      <c r="G130" s="29"/>
      <c r="H130" s="29"/>
      <c r="I130" s="29"/>
      <c r="J130" s="29"/>
      <c r="K130" s="29"/>
      <c r="L130" s="29"/>
      <c r="M130" s="29"/>
      <c r="N130" s="29"/>
      <c r="O130" s="29"/>
      <c r="P130" s="29"/>
      <c r="Q130" s="29"/>
      <c r="S130" s="5" t="s">
        <v>202</v>
      </c>
      <c r="T130" s="5">
        <f>-T128</f>
        <v>-7</v>
      </c>
      <c r="U130" s="5" t="s">
        <v>98</v>
      </c>
    </row>
    <row r="131" spans="1:32" x14ac:dyDescent="0.45">
      <c r="A131" s="29"/>
      <c r="B131" s="29"/>
      <c r="C131" s="29"/>
      <c r="D131" s="29"/>
      <c r="E131" s="29"/>
      <c r="F131" s="29"/>
      <c r="G131" s="29"/>
      <c r="H131" s="29"/>
      <c r="I131" s="29"/>
      <c r="J131" s="29"/>
      <c r="K131" s="29"/>
      <c r="L131" s="29"/>
      <c r="M131" s="29"/>
      <c r="N131" s="29"/>
      <c r="O131" s="29"/>
      <c r="P131" s="29"/>
      <c r="Q131" s="29"/>
      <c r="S131" s="3" t="s">
        <v>203</v>
      </c>
      <c r="T131" s="3">
        <f>T129</f>
        <v>2500</v>
      </c>
      <c r="U131" s="5" t="s">
        <v>45</v>
      </c>
    </row>
    <row r="132" spans="1:32" x14ac:dyDescent="0.45">
      <c r="A132" s="29"/>
      <c r="B132" s="62"/>
      <c r="C132" s="62"/>
      <c r="D132" s="62"/>
      <c r="E132" s="62"/>
      <c r="F132" s="62"/>
      <c r="G132" s="62"/>
      <c r="H132" s="62"/>
      <c r="I132" s="62"/>
      <c r="J132" s="62"/>
      <c r="K132" s="62"/>
      <c r="L132" s="62"/>
      <c r="M132" s="62"/>
      <c r="N132" s="62"/>
      <c r="O132" s="62"/>
      <c r="P132" s="62"/>
      <c r="Q132" s="62"/>
      <c r="S132" s="3" t="s">
        <v>204</v>
      </c>
      <c r="T132" s="3">
        <v>0.2</v>
      </c>
      <c r="U132" s="5" t="s">
        <v>44</v>
      </c>
    </row>
    <row r="133" spans="1:32" x14ac:dyDescent="0.45">
      <c r="A133" s="29"/>
      <c r="B133" s="62"/>
      <c r="C133" s="62"/>
      <c r="D133" s="62"/>
      <c r="E133" s="62"/>
      <c r="F133" s="62"/>
      <c r="G133" s="62"/>
      <c r="H133" s="62"/>
      <c r="I133" s="62"/>
      <c r="J133" s="62"/>
      <c r="K133" s="62"/>
      <c r="L133" s="62"/>
      <c r="M133" s="62"/>
      <c r="N133" s="62"/>
      <c r="O133" s="62"/>
      <c r="P133" s="62"/>
      <c r="Q133" s="62"/>
      <c r="S133" s="3" t="s">
        <v>205</v>
      </c>
      <c r="T133" s="3">
        <v>7500</v>
      </c>
      <c r="U133" s="5" t="s">
        <v>45</v>
      </c>
    </row>
    <row r="134" spans="1:32" x14ac:dyDescent="0.45">
      <c r="A134" s="29"/>
      <c r="B134" s="61"/>
      <c r="C134" s="61"/>
      <c r="D134" s="61"/>
      <c r="E134" s="61"/>
      <c r="F134" s="61"/>
      <c r="G134" s="61"/>
      <c r="H134" s="61"/>
      <c r="I134" s="61"/>
      <c r="J134" s="61"/>
      <c r="K134" s="61"/>
      <c r="L134" s="61"/>
      <c r="M134" s="61"/>
      <c r="N134" s="61"/>
      <c r="O134" s="61"/>
      <c r="P134" s="61"/>
      <c r="Q134" s="61"/>
      <c r="S134" s="29"/>
      <c r="T134" s="29"/>
      <c r="U134" s="72"/>
      <c r="V134" s="29"/>
      <c r="W134" s="29"/>
      <c r="X134" s="29"/>
      <c r="Y134" s="29"/>
      <c r="Z134" s="29"/>
      <c r="AA134" s="29"/>
      <c r="AB134" s="29"/>
      <c r="AC134" s="29"/>
      <c r="AE134" s="29"/>
      <c r="AF134" s="29"/>
    </row>
    <row r="135" spans="1:32" x14ac:dyDescent="0.45">
      <c r="A135" s="29"/>
      <c r="B135" s="61"/>
      <c r="C135" s="61"/>
      <c r="D135" s="61"/>
      <c r="E135" s="61"/>
      <c r="F135" s="61"/>
      <c r="G135" s="61"/>
      <c r="H135" s="61"/>
      <c r="I135" s="61"/>
      <c r="J135" s="61"/>
      <c r="K135" s="61"/>
      <c r="L135" s="61"/>
      <c r="M135" s="61"/>
      <c r="N135" s="61"/>
      <c r="O135" s="61"/>
      <c r="P135" s="61"/>
      <c r="Q135" s="61"/>
      <c r="S135" s="77" t="s">
        <v>332</v>
      </c>
      <c r="T135" s="77" t="s">
        <v>333</v>
      </c>
      <c r="U135" s="78" t="s">
        <v>371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34" workbookViewId="0">
      <selection activeCell="A53" sqref="A53:AN87"/>
    </sheetView>
  </sheetViews>
  <sheetFormatPr defaultRowHeight="14.25" x14ac:dyDescent="0.45"/>
  <cols>
    <col min="21" max="21" width="9.1328125" style="70"/>
  </cols>
  <sheetData>
    <row r="3" spans="1:46" x14ac:dyDescent="0.45">
      <c r="A3" s="47" t="s">
        <v>169</v>
      </c>
      <c r="B3" s="2" t="s">
        <v>327</v>
      </c>
      <c r="C3" s="47" t="s">
        <v>168</v>
      </c>
      <c r="D3" s="2" t="s">
        <v>374</v>
      </c>
      <c r="AO3" t="s">
        <v>170</v>
      </c>
      <c r="AP3" t="s">
        <v>328</v>
      </c>
      <c r="AQ3" t="s">
        <v>169</v>
      </c>
      <c r="AR3" t="s">
        <v>327</v>
      </c>
      <c r="AS3" t="s">
        <v>168</v>
      </c>
      <c r="AT3" t="s">
        <v>374</v>
      </c>
    </row>
    <row r="4" spans="1:46" x14ac:dyDescent="0.45">
      <c r="A4" s="35" t="s">
        <v>0</v>
      </c>
      <c r="B4" s="2"/>
      <c r="C4" s="2"/>
      <c r="D4" s="2"/>
      <c r="E4" s="2"/>
      <c r="F4" s="2"/>
      <c r="G4" s="2"/>
      <c r="H4" s="2"/>
      <c r="I4" s="2"/>
      <c r="J4" s="2"/>
      <c r="K4" s="2"/>
      <c r="L4" s="2"/>
      <c r="M4" s="2"/>
      <c r="N4" s="2"/>
      <c r="O4" s="2"/>
      <c r="P4" s="2"/>
      <c r="Q4" s="47" t="s">
        <v>329</v>
      </c>
    </row>
    <row r="5" spans="1:46" x14ac:dyDescent="0.45">
      <c r="A5" s="2">
        <v>1</v>
      </c>
      <c r="B5" s="10" t="s">
        <v>10</v>
      </c>
      <c r="C5" s="10" t="e">
        <f>StartX-F5*COS(RADIANS(T49))</f>
        <v>#NAME?</v>
      </c>
      <c r="D5" s="10" t="e">
        <f>StartY+T48</f>
        <v>#NAME?</v>
      </c>
      <c r="E5" s="10">
        <v>0</v>
      </c>
      <c r="F5" s="55" t="e">
        <f>T48/SIN(RADIANS(T49))</f>
        <v>#NAME?</v>
      </c>
      <c r="G5" s="10" t="e">
        <f>-T49</f>
        <v>#NAME?</v>
      </c>
      <c r="H5" s="10">
        <f>T43</f>
        <v>90</v>
      </c>
      <c r="I5" s="10" t="s">
        <v>38</v>
      </c>
      <c r="J5" s="10">
        <v>16</v>
      </c>
      <c r="K5" s="10" t="e">
        <f t="shared" ref="K5:K6" si="0">Width</f>
        <v>#NAME?</v>
      </c>
      <c r="L5" s="10">
        <f>_xlfn.SINGLE(Height)</f>
        <v>100</v>
      </c>
      <c r="M5" s="10"/>
      <c r="N5" s="10"/>
      <c r="O5" s="10"/>
      <c r="P5" s="10"/>
      <c r="Q5" s="11" t="s">
        <v>317</v>
      </c>
      <c r="S5" s="76" t="s">
        <v>40</v>
      </c>
      <c r="T5" s="3"/>
      <c r="U5" s="5"/>
    </row>
    <row r="6" spans="1:46" x14ac:dyDescent="0.45">
      <c r="A6" s="2">
        <v>2</v>
      </c>
      <c r="B6" s="12" t="s">
        <v>10</v>
      </c>
      <c r="C6" s="12" t="e">
        <f>StartX+F6*COS(RADIANS(T49))</f>
        <v>#NAME?</v>
      </c>
      <c r="D6" s="12" t="e">
        <f>StartY+T47+T48</f>
        <v>#NAME?</v>
      </c>
      <c r="E6" s="12">
        <v>0</v>
      </c>
      <c r="F6" s="56" t="e">
        <f>T48/SIN(RADIANS(T49))</f>
        <v>#NAME?</v>
      </c>
      <c r="G6" s="12" t="e">
        <f>180+T49</f>
        <v>#NAME?</v>
      </c>
      <c r="H6" s="12">
        <f>T43</f>
        <v>90</v>
      </c>
      <c r="I6" s="12" t="s">
        <v>20</v>
      </c>
      <c r="J6" s="12">
        <v>16</v>
      </c>
      <c r="K6" s="12" t="e">
        <f t="shared" si="0"/>
        <v>#NAME?</v>
      </c>
      <c r="L6" s="12">
        <f>_xlfn.SINGLE(Height)</f>
        <v>100</v>
      </c>
      <c r="M6" s="12"/>
      <c r="N6" s="12"/>
      <c r="O6" s="12"/>
      <c r="P6" s="12"/>
      <c r="Q6" s="13" t="s">
        <v>318</v>
      </c>
      <c r="S6" s="5" t="s">
        <v>122</v>
      </c>
      <c r="T6" s="5">
        <v>0.2</v>
      </c>
      <c r="U6" s="5" t="s">
        <v>44</v>
      </c>
    </row>
    <row r="7" spans="1:46" x14ac:dyDescent="0.45">
      <c r="A7" s="2">
        <v>3</v>
      </c>
      <c r="B7" s="44" t="s">
        <v>56</v>
      </c>
      <c r="C7" s="45" t="s">
        <v>325</v>
      </c>
      <c r="D7" s="44">
        <v>0</v>
      </c>
      <c r="E7" s="44" t="e">
        <f>Period</f>
        <v>#NAME?</v>
      </c>
      <c r="F7" s="44">
        <v>0</v>
      </c>
      <c r="G7" s="44" t="e">
        <f>UnitCells-1</f>
        <v>#NAME?</v>
      </c>
      <c r="H7" s="44"/>
      <c r="I7" s="44"/>
      <c r="J7" s="44"/>
      <c r="K7" s="44"/>
      <c r="L7" s="44"/>
      <c r="M7" s="44"/>
      <c r="N7" s="44"/>
      <c r="O7" s="44"/>
      <c r="P7" s="44"/>
      <c r="Q7" s="48" t="s">
        <v>322</v>
      </c>
      <c r="S7" s="5" t="s">
        <v>95</v>
      </c>
      <c r="T7" s="5">
        <v>1</v>
      </c>
      <c r="U7" s="5" t="s">
        <v>97</v>
      </c>
    </row>
    <row r="8" spans="1:46" x14ac:dyDescent="0.45">
      <c r="A8" s="2">
        <v>4</v>
      </c>
      <c r="B8" s="14" t="s">
        <v>17</v>
      </c>
      <c r="C8" s="14" t="s">
        <v>324</v>
      </c>
      <c r="D8" s="14" t="s">
        <v>2</v>
      </c>
      <c r="E8" s="14" t="e">
        <f>CONCATENATE("R",QuarterPeriod)</f>
        <v>#NAME?</v>
      </c>
      <c r="F8" s="14" t="s">
        <v>124</v>
      </c>
      <c r="G8" s="14">
        <v>90</v>
      </c>
      <c r="H8" s="14"/>
      <c r="I8" s="14"/>
      <c r="J8" s="14"/>
      <c r="K8" s="14"/>
      <c r="L8" s="14"/>
      <c r="M8" s="14"/>
      <c r="N8" s="14"/>
      <c r="O8" s="14"/>
      <c r="P8" s="14"/>
      <c r="Q8" s="14" t="s">
        <v>319</v>
      </c>
      <c r="S8" s="5" t="s">
        <v>96</v>
      </c>
      <c r="T8" s="5">
        <v>1</v>
      </c>
      <c r="U8" s="5" t="s">
        <v>97</v>
      </c>
    </row>
    <row r="9" spans="1:46" x14ac:dyDescent="0.45">
      <c r="A9" s="2">
        <v>5</v>
      </c>
      <c r="B9" s="15" t="s">
        <v>56</v>
      </c>
      <c r="C9" s="25" t="s">
        <v>310</v>
      </c>
      <c r="D9" s="15" t="e">
        <f>Period</f>
        <v>#NAME?</v>
      </c>
      <c r="E9" s="15">
        <v>0</v>
      </c>
      <c r="F9" s="15">
        <v>0</v>
      </c>
      <c r="G9" s="15" t="e">
        <f>UnitCells-1</f>
        <v>#NAME?</v>
      </c>
      <c r="H9" s="15"/>
      <c r="I9" s="15"/>
      <c r="J9" s="15"/>
      <c r="K9" s="15"/>
      <c r="L9" s="15"/>
      <c r="M9" s="15"/>
      <c r="N9" s="15"/>
      <c r="O9" s="15"/>
      <c r="P9" s="15"/>
      <c r="Q9" s="16" t="s">
        <v>320</v>
      </c>
      <c r="S9" s="5" t="s">
        <v>233</v>
      </c>
      <c r="T9" s="5" t="s">
        <v>244</v>
      </c>
      <c r="U9" s="5"/>
    </row>
    <row r="10" spans="1:46" x14ac:dyDescent="0.45">
      <c r="A10" s="2">
        <v>6</v>
      </c>
      <c r="B10" s="3" t="s">
        <v>56</v>
      </c>
      <c r="C10" s="43" t="s">
        <v>326</v>
      </c>
      <c r="D10" s="3">
        <v>0</v>
      </c>
      <c r="E10" s="3">
        <v>0</v>
      </c>
      <c r="F10" s="3" t="e">
        <f>SecondLayerOffset</f>
        <v>#NAME?</v>
      </c>
      <c r="G10" s="3" t="e">
        <f>NumberOfLayers-1</f>
        <v>#NAME?</v>
      </c>
      <c r="H10" s="3"/>
      <c r="I10" s="3"/>
      <c r="J10" s="3"/>
      <c r="K10" s="3"/>
      <c r="L10" s="3"/>
      <c r="M10" s="3"/>
      <c r="N10" s="3"/>
      <c r="O10" s="3"/>
      <c r="P10" s="3"/>
      <c r="Q10" s="39" t="s">
        <v>321</v>
      </c>
      <c r="S10" s="5" t="s">
        <v>234</v>
      </c>
      <c r="T10" s="5">
        <v>0</v>
      </c>
      <c r="U10" s="5"/>
    </row>
    <row r="11" spans="1:46" x14ac:dyDescent="0.45">
      <c r="A11" s="2">
        <v>7</v>
      </c>
      <c r="B11" s="8" t="s">
        <v>53</v>
      </c>
      <c r="C11" s="8">
        <v>6</v>
      </c>
      <c r="D11" s="52" t="s">
        <v>720</v>
      </c>
      <c r="E11" s="8">
        <v>1</v>
      </c>
      <c r="F11" s="8" t="e">
        <f>NumberOfLayers-1</f>
        <v>#NAME?</v>
      </c>
      <c r="G11" s="8" t="s">
        <v>26</v>
      </c>
      <c r="H11" s="8" t="e">
        <f>StartX+((((UnitCells)*Period))/2)-(HalfPeriod)</f>
        <v>#NAME?</v>
      </c>
      <c r="I11" s="8" t="e">
        <f>StartY+((((UnitCells)*Period))/2)</f>
        <v>#NAME?</v>
      </c>
      <c r="J11" s="8">
        <v>90</v>
      </c>
      <c r="K11" s="8">
        <v>0</v>
      </c>
      <c r="L11" s="8" t="s">
        <v>143</v>
      </c>
      <c r="M11" s="8" t="s">
        <v>143</v>
      </c>
      <c r="N11" s="8"/>
      <c r="O11" s="8"/>
      <c r="P11" s="8"/>
      <c r="Q11" s="9" t="s">
        <v>323</v>
      </c>
      <c r="S11" s="46"/>
      <c r="T11" s="46"/>
      <c r="U11" s="71"/>
    </row>
    <row r="12" spans="1:46" x14ac:dyDescent="0.45">
      <c r="A12" s="2">
        <v>8</v>
      </c>
      <c r="B12" s="29"/>
      <c r="C12" s="29"/>
      <c r="D12" s="29"/>
      <c r="E12" s="29"/>
      <c r="F12" s="29"/>
      <c r="G12" s="29"/>
      <c r="H12" s="29"/>
      <c r="I12" s="29"/>
      <c r="J12" s="29"/>
      <c r="K12" s="29"/>
      <c r="L12" s="29"/>
      <c r="M12" s="29"/>
      <c r="N12" s="29"/>
      <c r="O12" s="29"/>
      <c r="P12" s="29"/>
      <c r="Q12" s="29"/>
      <c r="S12" s="5" t="s">
        <v>378</v>
      </c>
      <c r="T12" s="5">
        <v>60</v>
      </c>
      <c r="U12" s="5" t="s">
        <v>43</v>
      </c>
      <c r="V12" s="1"/>
    </row>
    <row r="13" spans="1:46" ht="14.45" customHeight="1" x14ac:dyDescent="0.45">
      <c r="A13" s="2">
        <v>9</v>
      </c>
      <c r="B13" s="29"/>
      <c r="C13" s="148" t="s">
        <v>382</v>
      </c>
      <c r="D13" s="148"/>
      <c r="E13" s="148"/>
      <c r="F13" s="148"/>
      <c r="G13" s="148"/>
      <c r="H13" s="148"/>
      <c r="I13" s="148"/>
      <c r="J13" s="148"/>
      <c r="K13" s="148"/>
      <c r="L13" s="148"/>
      <c r="M13" s="148"/>
      <c r="N13" s="148"/>
      <c r="O13" s="29"/>
      <c r="P13" s="29"/>
      <c r="Q13" s="29"/>
      <c r="S13" s="5" t="s">
        <v>93</v>
      </c>
      <c r="T13" s="5">
        <v>1000</v>
      </c>
      <c r="U13" s="5" t="s">
        <v>45</v>
      </c>
    </row>
    <row r="14" spans="1:46" x14ac:dyDescent="0.45">
      <c r="A14" s="2">
        <v>10</v>
      </c>
      <c r="B14" s="29"/>
      <c r="C14" s="148" t="s">
        <v>376</v>
      </c>
      <c r="D14" s="148"/>
      <c r="E14" s="148"/>
      <c r="F14" s="148"/>
      <c r="G14" s="148"/>
      <c r="H14" s="148"/>
      <c r="I14" s="148"/>
      <c r="J14" s="148"/>
      <c r="K14" s="148"/>
      <c r="L14" s="148"/>
      <c r="M14" s="148"/>
      <c r="N14" s="148"/>
      <c r="O14" s="29"/>
      <c r="P14" s="29"/>
      <c r="Q14" s="29"/>
      <c r="S14" s="5" t="s">
        <v>94</v>
      </c>
      <c r="T14" s="5">
        <v>9000</v>
      </c>
      <c r="U14" s="5" t="s">
        <v>45</v>
      </c>
    </row>
    <row r="15" spans="1:46" x14ac:dyDescent="0.45">
      <c r="A15" s="2">
        <v>11</v>
      </c>
      <c r="B15" s="29"/>
      <c r="C15" s="149" t="s">
        <v>377</v>
      </c>
      <c r="D15" s="149"/>
      <c r="E15" s="149"/>
      <c r="F15" s="149"/>
      <c r="G15" s="149"/>
      <c r="H15" s="149"/>
      <c r="I15" s="149"/>
      <c r="J15" s="149"/>
      <c r="K15" s="149"/>
      <c r="L15" s="149"/>
      <c r="M15" s="149"/>
      <c r="N15" s="149"/>
      <c r="O15" s="29"/>
      <c r="P15" s="29"/>
      <c r="Q15" s="29"/>
      <c r="S15" s="5" t="s">
        <v>41</v>
      </c>
      <c r="T15" s="5">
        <v>210</v>
      </c>
      <c r="U15" s="5" t="s">
        <v>43</v>
      </c>
      <c r="V15" s="1"/>
    </row>
    <row r="16" spans="1:46" x14ac:dyDescent="0.45">
      <c r="A16" s="2">
        <v>12</v>
      </c>
      <c r="B16" s="29"/>
      <c r="C16" s="149" t="s">
        <v>723</v>
      </c>
      <c r="D16" s="149"/>
      <c r="E16" s="149"/>
      <c r="F16" s="149"/>
      <c r="G16" s="149"/>
      <c r="H16" s="149"/>
      <c r="I16" s="149"/>
      <c r="J16" s="149"/>
      <c r="K16" s="149"/>
      <c r="L16" s="149"/>
      <c r="M16" s="149"/>
      <c r="N16" s="149"/>
      <c r="O16" s="29"/>
      <c r="P16" s="29"/>
      <c r="Q16" s="29"/>
      <c r="S16" s="5" t="s">
        <v>42</v>
      </c>
      <c r="T16" s="5">
        <v>2.85</v>
      </c>
      <c r="U16" s="5" t="s">
        <v>44</v>
      </c>
    </row>
    <row r="17" spans="1:32" x14ac:dyDescent="0.45">
      <c r="A17" s="2">
        <v>13</v>
      </c>
      <c r="B17" s="29"/>
      <c r="C17" s="149" t="s">
        <v>724</v>
      </c>
      <c r="D17" s="149"/>
      <c r="E17" s="149"/>
      <c r="F17" s="149"/>
      <c r="G17" s="149"/>
      <c r="H17" s="149"/>
      <c r="I17" s="149"/>
      <c r="J17" s="149"/>
      <c r="K17" s="149"/>
      <c r="L17" s="149"/>
      <c r="M17" s="149"/>
      <c r="N17" s="149"/>
      <c r="O17" s="29"/>
      <c r="P17" s="29"/>
      <c r="Q17" s="29"/>
      <c r="S17" s="5" t="s">
        <v>46</v>
      </c>
      <c r="T17" s="5" t="s">
        <v>89</v>
      </c>
      <c r="U17" s="5" t="s">
        <v>98</v>
      </c>
    </row>
    <row r="18" spans="1:32" x14ac:dyDescent="0.45">
      <c r="A18" s="2">
        <v>14</v>
      </c>
      <c r="B18" s="29"/>
      <c r="C18" s="29"/>
      <c r="D18" s="29"/>
      <c r="E18" s="29"/>
      <c r="F18" s="29"/>
      <c r="G18" s="29"/>
      <c r="H18" s="29"/>
      <c r="I18" s="29"/>
      <c r="J18" s="29"/>
      <c r="K18" s="29"/>
      <c r="L18" s="29"/>
      <c r="M18" s="29"/>
      <c r="N18" s="29"/>
      <c r="O18" s="29"/>
      <c r="P18" s="29"/>
      <c r="Q18" s="29"/>
      <c r="S18" s="5" t="s">
        <v>132</v>
      </c>
      <c r="T18" s="5" t="s">
        <v>193</v>
      </c>
      <c r="U18" s="5"/>
    </row>
    <row r="19" spans="1:32" x14ac:dyDescent="0.45">
      <c r="A19" s="2">
        <v>15</v>
      </c>
      <c r="B19" s="29"/>
      <c r="C19" s="29"/>
      <c r="D19" s="29"/>
      <c r="E19" s="29"/>
      <c r="F19" s="29"/>
      <c r="G19" s="29"/>
      <c r="H19" s="29"/>
      <c r="I19" s="29"/>
      <c r="J19" s="29"/>
      <c r="K19" s="29"/>
      <c r="L19" s="29"/>
      <c r="M19" s="29"/>
      <c r="N19" s="29"/>
      <c r="O19" s="29"/>
      <c r="P19" s="29"/>
      <c r="Q19" s="29"/>
      <c r="S19" s="5" t="s">
        <v>192</v>
      </c>
      <c r="T19" s="5" t="s">
        <v>163</v>
      </c>
      <c r="U19" s="5"/>
    </row>
    <row r="20" spans="1:32" x14ac:dyDescent="0.45">
      <c r="A20" s="29"/>
      <c r="B20" s="29"/>
      <c r="C20" s="29"/>
      <c r="D20" s="29"/>
      <c r="E20" s="29"/>
      <c r="F20" s="29"/>
      <c r="G20" s="29"/>
      <c r="H20" s="29"/>
      <c r="I20" s="29"/>
      <c r="J20" s="29"/>
      <c r="K20" s="29"/>
      <c r="L20" s="29"/>
      <c r="M20" s="29"/>
      <c r="N20" s="29"/>
      <c r="O20" s="29"/>
      <c r="P20" s="29"/>
      <c r="Q20" s="29"/>
      <c r="S20" s="5" t="s">
        <v>207</v>
      </c>
      <c r="T20" s="5">
        <v>20</v>
      </c>
      <c r="U20" s="5" t="s">
        <v>44</v>
      </c>
    </row>
    <row r="21" spans="1:32" x14ac:dyDescent="0.45">
      <c r="A21" s="29"/>
      <c r="B21" s="29"/>
      <c r="C21" s="29"/>
      <c r="D21" s="29"/>
      <c r="E21" s="29"/>
      <c r="F21" s="29"/>
      <c r="G21" s="29"/>
      <c r="H21" s="29"/>
      <c r="I21" s="29"/>
      <c r="J21" s="29"/>
      <c r="K21" s="29"/>
      <c r="L21" s="29"/>
      <c r="M21" s="29"/>
      <c r="N21" s="29"/>
      <c r="O21" s="29"/>
      <c r="P21" s="29"/>
      <c r="Q21" s="29"/>
      <c r="S21" s="5" t="s">
        <v>208</v>
      </c>
      <c r="T21" s="5">
        <v>10</v>
      </c>
      <c r="U21" s="5" t="s">
        <v>44</v>
      </c>
    </row>
    <row r="22" spans="1:32" x14ac:dyDescent="0.45">
      <c r="A22" s="29"/>
      <c r="B22" s="29"/>
      <c r="C22" s="29"/>
      <c r="D22" s="29"/>
      <c r="E22" s="29"/>
      <c r="F22" s="29"/>
      <c r="G22" s="29"/>
      <c r="H22" s="29"/>
      <c r="I22" s="29"/>
      <c r="J22" s="29"/>
      <c r="K22" s="29"/>
      <c r="L22" s="29"/>
      <c r="M22" s="29"/>
      <c r="N22" s="29"/>
      <c r="O22" s="29"/>
      <c r="P22" s="29"/>
      <c r="Q22" s="29"/>
      <c r="S22" s="5" t="s">
        <v>209</v>
      </c>
      <c r="T22" s="5">
        <v>0.3</v>
      </c>
      <c r="U22" s="5" t="s">
        <v>44</v>
      </c>
    </row>
    <row r="23" spans="1:32" x14ac:dyDescent="0.45">
      <c r="A23" s="29"/>
      <c r="B23" s="29"/>
      <c r="C23" s="29"/>
      <c r="D23" s="29"/>
      <c r="E23" s="29"/>
      <c r="F23" s="29"/>
      <c r="G23" s="29"/>
      <c r="H23" s="29"/>
      <c r="I23" s="29"/>
      <c r="J23" s="29"/>
      <c r="K23" s="29"/>
      <c r="L23" s="29"/>
      <c r="M23" s="29"/>
      <c r="N23" s="29"/>
      <c r="O23" s="29"/>
      <c r="P23" s="29"/>
      <c r="Q23" s="29"/>
      <c r="S23" s="59" t="s">
        <v>379</v>
      </c>
      <c r="T23" s="5">
        <v>0</v>
      </c>
      <c r="U23" s="5"/>
      <c r="V23" s="1"/>
    </row>
    <row r="24" spans="1:32" x14ac:dyDescent="0.45">
      <c r="A24" s="29"/>
      <c r="B24" s="29"/>
      <c r="C24" s="29"/>
      <c r="D24" s="29"/>
      <c r="E24" s="29"/>
      <c r="F24" s="29"/>
      <c r="G24" s="29"/>
      <c r="H24" s="29"/>
      <c r="I24" s="29"/>
      <c r="J24" s="29"/>
      <c r="K24" s="29"/>
      <c r="L24" s="29"/>
      <c r="M24" s="29"/>
      <c r="N24" s="29"/>
      <c r="O24" s="29"/>
      <c r="P24" s="29"/>
      <c r="Q24" s="29"/>
      <c r="S24" s="5" t="s">
        <v>194</v>
      </c>
      <c r="T24" s="5" t="s">
        <v>206</v>
      </c>
      <c r="U24" s="5" t="s">
        <v>198</v>
      </c>
    </row>
    <row r="25" spans="1:32" x14ac:dyDescent="0.45">
      <c r="A25" s="29"/>
      <c r="B25" s="29"/>
      <c r="C25" s="29"/>
      <c r="D25" s="29"/>
      <c r="E25" s="29"/>
      <c r="F25" s="29"/>
      <c r="G25" s="29"/>
      <c r="H25" s="29"/>
      <c r="I25" s="29"/>
      <c r="J25" s="29"/>
      <c r="K25" s="29"/>
      <c r="L25" s="29"/>
      <c r="M25" s="29"/>
      <c r="N25" s="29"/>
      <c r="O25" s="29"/>
      <c r="P25" s="29"/>
      <c r="Q25" s="29"/>
      <c r="S25" s="5" t="s">
        <v>199</v>
      </c>
      <c r="T25" s="5">
        <v>5</v>
      </c>
      <c r="U25" s="5" t="s">
        <v>44</v>
      </c>
      <c r="V25" s="1"/>
    </row>
    <row r="26" spans="1:32" x14ac:dyDescent="0.45">
      <c r="A26" s="29"/>
      <c r="B26" s="29"/>
      <c r="C26" s="29"/>
      <c r="D26" s="29"/>
      <c r="E26" s="29"/>
      <c r="F26" s="29"/>
      <c r="G26" s="29"/>
      <c r="H26" s="29"/>
      <c r="I26" s="29"/>
      <c r="J26" s="29"/>
      <c r="K26" s="29"/>
      <c r="L26" s="29"/>
      <c r="M26" s="29"/>
      <c r="N26" s="29"/>
      <c r="O26" s="29"/>
      <c r="P26" s="29"/>
      <c r="Q26" s="29"/>
      <c r="S26" s="5" t="s">
        <v>200</v>
      </c>
      <c r="T26" s="5">
        <v>7</v>
      </c>
      <c r="U26" s="5" t="s">
        <v>98</v>
      </c>
    </row>
    <row r="27" spans="1:32" x14ac:dyDescent="0.45">
      <c r="A27" s="29"/>
      <c r="B27" s="29"/>
      <c r="C27" s="29"/>
      <c r="D27" s="29"/>
      <c r="E27" s="29"/>
      <c r="F27" s="29"/>
      <c r="G27" s="29"/>
      <c r="H27" s="29"/>
      <c r="I27" s="29"/>
      <c r="J27" s="29"/>
      <c r="K27" s="29"/>
      <c r="L27" s="29"/>
      <c r="M27" s="29"/>
      <c r="N27" s="29"/>
      <c r="O27" s="29"/>
      <c r="P27" s="29"/>
      <c r="Q27" s="29"/>
      <c r="S27" s="5" t="s">
        <v>201</v>
      </c>
      <c r="T27" s="5">
        <v>2500</v>
      </c>
      <c r="U27" s="5" t="s">
        <v>45</v>
      </c>
    </row>
    <row r="28" spans="1:32" x14ac:dyDescent="0.45">
      <c r="A28" s="29"/>
      <c r="B28" s="29"/>
      <c r="C28" s="29"/>
      <c r="D28" s="29"/>
      <c r="E28" s="29"/>
      <c r="F28" s="29"/>
      <c r="G28" s="29"/>
      <c r="H28" s="29"/>
      <c r="I28" s="29"/>
      <c r="J28" s="29"/>
      <c r="K28" s="29"/>
      <c r="L28" s="29"/>
      <c r="M28" s="29"/>
      <c r="N28" s="29"/>
      <c r="O28" s="29"/>
      <c r="P28" s="29"/>
      <c r="Q28" s="29"/>
      <c r="S28" s="5" t="s">
        <v>202</v>
      </c>
      <c r="T28" s="5">
        <f>-T26</f>
        <v>-7</v>
      </c>
      <c r="U28" s="5" t="s">
        <v>98</v>
      </c>
    </row>
    <row r="29" spans="1:32" x14ac:dyDescent="0.45">
      <c r="A29" s="29"/>
      <c r="B29" s="29"/>
      <c r="C29" s="29"/>
      <c r="D29" s="29"/>
      <c r="E29" s="29"/>
      <c r="F29" s="29"/>
      <c r="G29" s="29"/>
      <c r="H29" s="29"/>
      <c r="I29" s="29"/>
      <c r="J29" s="29"/>
      <c r="K29" s="29"/>
      <c r="L29" s="29"/>
      <c r="M29" s="29"/>
      <c r="N29" s="29"/>
      <c r="O29" s="29"/>
      <c r="P29" s="29"/>
      <c r="Q29" s="29"/>
      <c r="S29" s="3" t="s">
        <v>203</v>
      </c>
      <c r="T29" s="3">
        <f>T27</f>
        <v>2500</v>
      </c>
      <c r="U29" s="5" t="s">
        <v>45</v>
      </c>
    </row>
    <row r="30" spans="1:32" x14ac:dyDescent="0.45">
      <c r="A30" s="29"/>
      <c r="B30" s="29"/>
      <c r="C30" s="29"/>
      <c r="D30" s="29"/>
      <c r="E30" s="29"/>
      <c r="F30" s="29"/>
      <c r="G30" s="29"/>
      <c r="H30" s="29"/>
      <c r="I30" s="29"/>
      <c r="J30" s="29"/>
      <c r="K30" s="29"/>
      <c r="L30" s="29"/>
      <c r="M30" s="29"/>
      <c r="N30" s="29"/>
      <c r="O30" s="29"/>
      <c r="P30" s="29"/>
      <c r="Q30" s="29"/>
      <c r="S30" s="3" t="s">
        <v>204</v>
      </c>
      <c r="T30" s="3">
        <v>0.2</v>
      </c>
      <c r="U30" s="5" t="s">
        <v>44</v>
      </c>
    </row>
    <row r="31" spans="1:32" x14ac:dyDescent="0.45">
      <c r="A31" s="29"/>
      <c r="B31" s="29"/>
      <c r="C31" s="29"/>
      <c r="D31" s="29"/>
      <c r="E31" s="29"/>
      <c r="F31" s="29"/>
      <c r="G31" s="29"/>
      <c r="H31" s="29"/>
      <c r="I31" s="29"/>
      <c r="J31" s="29"/>
      <c r="K31" s="29"/>
      <c r="L31" s="29"/>
      <c r="M31" s="29"/>
      <c r="N31" s="29"/>
      <c r="O31" s="29"/>
      <c r="P31" s="29"/>
      <c r="Q31" s="29"/>
      <c r="S31" s="3" t="s">
        <v>205</v>
      </c>
      <c r="T31" s="3">
        <v>7500</v>
      </c>
      <c r="U31" s="5" t="s">
        <v>45</v>
      </c>
    </row>
    <row r="32" spans="1:32" x14ac:dyDescent="0.45">
      <c r="A32" s="29"/>
      <c r="B32" s="29"/>
      <c r="C32" s="29"/>
      <c r="D32" s="29"/>
      <c r="E32" s="29"/>
      <c r="F32" s="29"/>
      <c r="G32" s="29"/>
      <c r="H32" s="29"/>
      <c r="I32" s="29"/>
      <c r="J32" s="29"/>
      <c r="K32" s="29"/>
      <c r="L32" s="29"/>
      <c r="M32" s="29"/>
      <c r="N32" s="29"/>
      <c r="O32" s="29"/>
      <c r="P32" s="29"/>
      <c r="Q32" s="29"/>
      <c r="S32" s="29"/>
      <c r="T32" s="29"/>
      <c r="U32" s="72"/>
      <c r="V32" s="29"/>
      <c r="W32" s="29"/>
      <c r="X32" s="29"/>
      <c r="Y32" s="29"/>
      <c r="Z32" s="29"/>
      <c r="AA32" s="29"/>
      <c r="AB32" s="29"/>
      <c r="AC32" s="29"/>
      <c r="AD32" s="29"/>
      <c r="AE32" s="29"/>
      <c r="AF32" s="29"/>
    </row>
    <row r="33" spans="1:40" x14ac:dyDescent="0.45">
      <c r="A33" s="29"/>
      <c r="B33" s="29"/>
      <c r="C33" s="29"/>
      <c r="D33" s="29"/>
      <c r="E33" s="29"/>
      <c r="F33" s="29"/>
      <c r="G33" s="29"/>
      <c r="H33" s="29"/>
      <c r="I33" s="29"/>
      <c r="J33" s="29"/>
      <c r="K33" s="29"/>
      <c r="L33" s="29"/>
      <c r="M33" s="29"/>
      <c r="N33" s="29"/>
      <c r="O33" s="29"/>
      <c r="P33" s="29"/>
      <c r="Q33" s="29"/>
      <c r="S33" s="77" t="s">
        <v>332</v>
      </c>
      <c r="T33" s="77" t="s">
        <v>333</v>
      </c>
      <c r="U33" s="78" t="s">
        <v>371</v>
      </c>
      <c r="V33" s="29"/>
      <c r="W33" s="29"/>
      <c r="X33" s="29"/>
      <c r="Y33" s="29"/>
      <c r="Z33" s="29"/>
      <c r="AA33" s="29"/>
      <c r="AB33" s="29"/>
      <c r="AC33" s="29"/>
      <c r="AD33" s="29"/>
      <c r="AE33" s="29"/>
      <c r="AF33" s="29"/>
    </row>
    <row r="34" spans="1:40" x14ac:dyDescent="0.45">
      <c r="A34" s="29"/>
      <c r="B34" s="29"/>
      <c r="C34" s="29"/>
      <c r="D34" s="29"/>
      <c r="E34" s="29"/>
      <c r="F34" s="29"/>
      <c r="G34" s="29"/>
      <c r="H34" s="29"/>
      <c r="I34" s="29"/>
      <c r="J34" s="29"/>
      <c r="K34" s="29"/>
      <c r="L34" s="29"/>
      <c r="M34" s="29"/>
      <c r="N34" s="29"/>
      <c r="O34" s="29"/>
      <c r="P34" s="29"/>
      <c r="Q34" s="29"/>
      <c r="R34" s="29"/>
      <c r="S34" s="57"/>
      <c r="T34" s="57"/>
      <c r="U34" s="73"/>
      <c r="V34" s="29"/>
      <c r="W34" s="29"/>
      <c r="X34" s="29"/>
      <c r="Y34" s="29"/>
      <c r="Z34" s="29"/>
      <c r="AA34" s="29"/>
      <c r="AB34" s="29"/>
      <c r="AC34" s="29"/>
      <c r="AD34" s="29"/>
      <c r="AE34" s="29"/>
      <c r="AF34" s="29"/>
      <c r="AG34" s="29"/>
      <c r="AH34" s="29"/>
      <c r="AI34" s="29"/>
      <c r="AJ34" s="29"/>
      <c r="AK34" s="29"/>
      <c r="AL34" s="29"/>
      <c r="AM34" s="29"/>
      <c r="AN34" s="29"/>
    </row>
    <row r="35" spans="1:40" x14ac:dyDescent="0.45">
      <c r="A35" s="29"/>
      <c r="B35" s="29"/>
      <c r="C35" s="29"/>
      <c r="D35" s="29"/>
      <c r="E35" s="29"/>
      <c r="F35" s="29"/>
      <c r="G35" s="29"/>
      <c r="H35" s="29"/>
      <c r="I35" s="29"/>
      <c r="J35" s="29"/>
      <c r="K35" s="29"/>
      <c r="L35" s="29"/>
      <c r="M35" s="29"/>
      <c r="N35" s="29"/>
      <c r="O35" s="29"/>
      <c r="P35" s="29"/>
      <c r="Q35" s="29"/>
      <c r="R35" s="29"/>
      <c r="S35" s="57" t="s">
        <v>366</v>
      </c>
      <c r="T35" s="57"/>
      <c r="U35" s="73"/>
      <c r="V35" s="29"/>
      <c r="W35" s="29"/>
      <c r="X35" s="29"/>
      <c r="Y35" s="29"/>
      <c r="Z35" s="29"/>
      <c r="AA35" s="29"/>
      <c r="AB35" s="29"/>
      <c r="AC35" s="29"/>
      <c r="AD35" s="29"/>
      <c r="AE35" s="29"/>
      <c r="AF35" s="29"/>
      <c r="AG35" s="29"/>
      <c r="AH35" s="29"/>
      <c r="AI35" s="29"/>
      <c r="AJ35" s="29"/>
      <c r="AK35" s="29"/>
      <c r="AL35" s="29"/>
      <c r="AM35" s="29"/>
      <c r="AN35" s="29"/>
    </row>
    <row r="36" spans="1:40" x14ac:dyDescent="0.45">
      <c r="A36" s="29"/>
      <c r="B36" s="29"/>
      <c r="C36" s="29"/>
      <c r="D36" s="29"/>
      <c r="E36" s="29"/>
      <c r="F36" s="29"/>
      <c r="G36" s="29"/>
      <c r="H36" s="29"/>
      <c r="I36" s="29"/>
      <c r="J36" s="29"/>
      <c r="K36" s="29"/>
      <c r="L36" s="29"/>
      <c r="M36" s="29"/>
      <c r="N36" s="29"/>
      <c r="O36" s="29"/>
      <c r="P36" s="29"/>
      <c r="Q36" s="29"/>
      <c r="R36" s="29"/>
      <c r="S36" s="57" t="s">
        <v>311</v>
      </c>
      <c r="T36" s="57">
        <v>50</v>
      </c>
      <c r="U36" s="73" t="s">
        <v>44</v>
      </c>
      <c r="V36" s="29"/>
      <c r="W36" s="29"/>
      <c r="X36" s="29"/>
      <c r="Y36" s="29"/>
      <c r="Z36" s="29"/>
      <c r="AA36" s="29"/>
      <c r="AB36" s="29"/>
      <c r="AC36" s="29"/>
      <c r="AD36" s="29"/>
      <c r="AE36" s="29"/>
      <c r="AF36" s="29"/>
      <c r="AG36" s="29"/>
      <c r="AH36" s="29"/>
      <c r="AI36" s="29"/>
      <c r="AJ36" s="29"/>
      <c r="AK36" s="29"/>
      <c r="AL36" s="29"/>
      <c r="AM36" s="29"/>
      <c r="AN36" s="29"/>
    </row>
    <row r="37" spans="1:40" x14ac:dyDescent="0.45">
      <c r="A37" s="29"/>
      <c r="B37" s="29"/>
      <c r="C37" s="29"/>
      <c r="D37" s="29"/>
      <c r="E37" s="29"/>
      <c r="F37" s="29"/>
      <c r="G37" s="29"/>
      <c r="H37" s="29"/>
      <c r="I37" s="29"/>
      <c r="J37" s="29"/>
      <c r="K37" s="29"/>
      <c r="L37" s="29"/>
      <c r="M37" s="29"/>
      <c r="N37" s="29"/>
      <c r="O37" s="29"/>
      <c r="P37" s="29"/>
      <c r="Q37" s="29"/>
      <c r="R37" s="29"/>
      <c r="S37" s="57" t="s">
        <v>312</v>
      </c>
      <c r="T37" s="57">
        <v>50</v>
      </c>
      <c r="U37" s="73" t="s">
        <v>44</v>
      </c>
      <c r="V37" s="29"/>
      <c r="W37" s="29"/>
      <c r="X37" s="29"/>
      <c r="Y37" s="29"/>
      <c r="Z37" s="29"/>
      <c r="AA37" s="29"/>
      <c r="AB37" s="29"/>
      <c r="AC37" s="29"/>
      <c r="AD37" s="29"/>
      <c r="AE37" s="29"/>
      <c r="AF37" s="29"/>
      <c r="AG37" s="29"/>
      <c r="AH37" s="29"/>
      <c r="AI37" s="29"/>
      <c r="AJ37" s="29"/>
      <c r="AK37" s="29"/>
      <c r="AL37" s="29"/>
      <c r="AM37" s="29"/>
      <c r="AN37" s="29"/>
    </row>
    <row r="38" spans="1:40" x14ac:dyDescent="0.45">
      <c r="A38" s="29"/>
      <c r="B38" s="29"/>
      <c r="C38" s="29"/>
      <c r="D38" s="29"/>
      <c r="E38" s="29"/>
      <c r="F38" s="29"/>
      <c r="G38" s="29"/>
      <c r="H38" s="29"/>
      <c r="I38" s="29"/>
      <c r="J38" s="29"/>
      <c r="K38" s="29"/>
      <c r="L38" s="29"/>
      <c r="M38" s="29"/>
      <c r="N38" s="29"/>
      <c r="O38" s="29"/>
      <c r="P38" s="29"/>
      <c r="Q38" s="29"/>
      <c r="R38" s="29"/>
      <c r="S38" s="57" t="s">
        <v>219</v>
      </c>
      <c r="T38" s="57">
        <v>0.6</v>
      </c>
      <c r="U38" s="73" t="s">
        <v>44</v>
      </c>
      <c r="V38" s="29"/>
      <c r="W38" s="29"/>
      <c r="X38" s="29"/>
      <c r="Y38" s="29"/>
      <c r="Z38" s="29"/>
      <c r="AA38" s="29"/>
      <c r="AB38" s="29"/>
      <c r="AC38" s="29"/>
      <c r="AD38" s="29"/>
      <c r="AE38" s="29"/>
      <c r="AF38" s="29"/>
      <c r="AG38" s="29"/>
      <c r="AH38" s="29"/>
      <c r="AI38" s="29"/>
      <c r="AJ38" s="29"/>
      <c r="AK38" s="29"/>
      <c r="AL38" s="29"/>
      <c r="AM38" s="29"/>
      <c r="AN38" s="29"/>
    </row>
    <row r="39" spans="1:40" x14ac:dyDescent="0.45">
      <c r="A39" s="29"/>
      <c r="B39" s="29"/>
      <c r="C39" s="29"/>
      <c r="D39" s="29"/>
      <c r="E39" s="29"/>
      <c r="F39" s="29"/>
      <c r="G39" s="29"/>
      <c r="H39" s="29"/>
      <c r="I39" s="29"/>
      <c r="J39" s="29"/>
      <c r="K39" s="29"/>
      <c r="L39" s="29"/>
      <c r="M39" s="29"/>
      <c r="N39" s="29"/>
      <c r="O39" s="29"/>
      <c r="P39" s="29"/>
      <c r="Q39" s="29"/>
      <c r="R39" s="29"/>
      <c r="S39" s="57" t="s">
        <v>220</v>
      </c>
      <c r="T39" s="57">
        <v>0.2</v>
      </c>
      <c r="U39" s="73" t="s">
        <v>44</v>
      </c>
      <c r="V39" s="29"/>
      <c r="W39" s="29"/>
      <c r="X39" s="29"/>
      <c r="Y39" s="29"/>
      <c r="Z39" s="29"/>
      <c r="AA39" s="29"/>
      <c r="AB39" s="29"/>
      <c r="AC39" s="29"/>
      <c r="AD39" s="29"/>
      <c r="AE39" s="29"/>
      <c r="AF39" s="29"/>
      <c r="AG39" s="29"/>
      <c r="AH39" s="29"/>
      <c r="AI39" s="29"/>
      <c r="AJ39" s="29"/>
      <c r="AK39" s="29"/>
      <c r="AL39" s="29"/>
      <c r="AM39" s="29"/>
      <c r="AN39" s="29"/>
    </row>
    <row r="40" spans="1:40" x14ac:dyDescent="0.45">
      <c r="A40" s="29"/>
      <c r="B40" s="29"/>
      <c r="C40" s="29"/>
      <c r="D40" s="29"/>
      <c r="E40" s="29"/>
      <c r="F40" s="29"/>
      <c r="G40" s="29"/>
      <c r="H40" s="29"/>
      <c r="I40" s="29"/>
      <c r="J40" s="29"/>
      <c r="K40" s="29"/>
      <c r="L40" s="29"/>
      <c r="M40" s="29"/>
      <c r="N40" s="29"/>
      <c r="O40" s="29"/>
      <c r="P40" s="29"/>
      <c r="Q40" s="29"/>
      <c r="R40" s="29"/>
      <c r="S40" s="57" t="s">
        <v>176</v>
      </c>
      <c r="T40" s="57">
        <v>4</v>
      </c>
      <c r="U40" s="73" t="s">
        <v>97</v>
      </c>
      <c r="V40" s="29"/>
      <c r="W40" s="29"/>
      <c r="X40" s="29"/>
      <c r="Y40" s="29"/>
      <c r="Z40" s="29"/>
      <c r="AA40" s="29"/>
      <c r="AB40" s="29"/>
      <c r="AC40" s="29"/>
      <c r="AD40" s="29"/>
      <c r="AE40" s="29"/>
      <c r="AF40" s="29"/>
      <c r="AG40" s="29"/>
      <c r="AH40" s="29"/>
      <c r="AI40" s="29"/>
      <c r="AJ40" s="29"/>
      <c r="AK40" s="29"/>
      <c r="AL40" s="29"/>
      <c r="AM40" s="29"/>
      <c r="AN40" s="29"/>
    </row>
    <row r="41" spans="1:40" x14ac:dyDescent="0.45">
      <c r="A41" s="29"/>
      <c r="B41" s="29"/>
      <c r="C41" s="29"/>
      <c r="D41" s="29"/>
      <c r="E41" s="29"/>
      <c r="F41" s="29"/>
      <c r="G41" s="29"/>
      <c r="H41" s="29"/>
      <c r="I41" s="29"/>
      <c r="J41" s="29"/>
      <c r="K41" s="29"/>
      <c r="L41" s="29"/>
      <c r="M41" s="29"/>
      <c r="N41" s="29"/>
      <c r="O41" s="29"/>
      <c r="P41" s="29"/>
      <c r="Q41" s="29"/>
      <c r="R41" s="29"/>
      <c r="S41" s="57" t="s">
        <v>127</v>
      </c>
      <c r="T41" s="57">
        <v>16</v>
      </c>
      <c r="U41" s="73" t="s">
        <v>44</v>
      </c>
      <c r="V41" s="29"/>
      <c r="W41" s="29"/>
      <c r="X41" s="29"/>
      <c r="Y41" s="29"/>
      <c r="Z41" s="29"/>
      <c r="AA41" s="29"/>
      <c r="AB41" s="29"/>
      <c r="AC41" s="29"/>
      <c r="AD41" s="29"/>
      <c r="AE41" s="29"/>
      <c r="AF41" s="29"/>
      <c r="AG41" s="29"/>
      <c r="AH41" s="29"/>
      <c r="AI41" s="29"/>
      <c r="AJ41" s="29"/>
      <c r="AK41" s="29"/>
      <c r="AL41" s="29"/>
      <c r="AM41" s="29"/>
      <c r="AN41" s="29"/>
    </row>
    <row r="42" spans="1:40" x14ac:dyDescent="0.45">
      <c r="A42" s="29"/>
      <c r="B42" s="29"/>
      <c r="C42" s="29"/>
      <c r="D42" s="29"/>
      <c r="E42" s="29"/>
      <c r="F42" s="29"/>
      <c r="G42" s="29"/>
      <c r="H42" s="29"/>
      <c r="I42" s="29"/>
      <c r="J42" s="29"/>
      <c r="K42" s="29"/>
      <c r="L42" s="29"/>
      <c r="M42" s="29"/>
      <c r="N42" s="29"/>
      <c r="O42" s="29"/>
      <c r="P42" s="29"/>
      <c r="Q42" s="29"/>
      <c r="R42" s="29"/>
      <c r="S42" s="57" t="s">
        <v>314</v>
      </c>
      <c r="T42" s="57">
        <v>40</v>
      </c>
      <c r="U42" s="73" t="s">
        <v>97</v>
      </c>
      <c r="V42" s="29"/>
      <c r="W42" s="29"/>
      <c r="X42" s="29"/>
      <c r="Y42" s="29"/>
      <c r="Z42" s="29"/>
      <c r="AA42" s="29"/>
      <c r="AB42" s="29"/>
      <c r="AC42" s="29"/>
      <c r="AD42" s="29"/>
      <c r="AE42" s="29"/>
      <c r="AF42" s="29"/>
      <c r="AG42" s="29"/>
      <c r="AH42" s="29"/>
      <c r="AI42" s="29"/>
      <c r="AJ42" s="29"/>
      <c r="AK42" s="29"/>
      <c r="AL42" s="29"/>
      <c r="AM42" s="29"/>
      <c r="AN42" s="29"/>
    </row>
    <row r="43" spans="1:40" x14ac:dyDescent="0.45">
      <c r="A43" s="29"/>
      <c r="B43" s="29"/>
      <c r="C43" s="29"/>
      <c r="D43" s="29"/>
      <c r="E43" s="29"/>
      <c r="F43" s="29"/>
      <c r="G43" s="29"/>
      <c r="H43" s="29"/>
      <c r="I43" s="29"/>
      <c r="J43" s="29"/>
      <c r="K43" s="29"/>
      <c r="L43" s="29"/>
      <c r="M43" s="29"/>
      <c r="N43" s="29"/>
      <c r="O43" s="29"/>
      <c r="P43" s="29"/>
      <c r="Q43" s="29"/>
      <c r="R43" s="29"/>
      <c r="S43" s="57" t="s">
        <v>125</v>
      </c>
      <c r="T43" s="57">
        <v>90</v>
      </c>
      <c r="U43" s="73" t="s">
        <v>177</v>
      </c>
      <c r="V43" s="29"/>
      <c r="W43" s="29"/>
      <c r="X43" s="29"/>
      <c r="Y43" s="29"/>
      <c r="Z43" s="29"/>
      <c r="AA43" s="29"/>
      <c r="AB43" s="29"/>
      <c r="AC43" s="29"/>
      <c r="AD43" s="29"/>
      <c r="AE43" s="29"/>
      <c r="AF43" s="29"/>
      <c r="AG43" s="29"/>
      <c r="AH43" s="29"/>
      <c r="AI43" s="29"/>
      <c r="AJ43" s="29"/>
      <c r="AK43" s="29"/>
      <c r="AL43" s="29"/>
      <c r="AM43" s="29"/>
      <c r="AN43" s="29"/>
    </row>
    <row r="44" spans="1:40" x14ac:dyDescent="0.45">
      <c r="A44" s="29"/>
      <c r="B44" s="29"/>
      <c r="C44" s="29"/>
      <c r="D44" s="29"/>
      <c r="E44" s="29"/>
      <c r="F44" s="29"/>
      <c r="G44" s="29"/>
      <c r="H44" s="29"/>
      <c r="I44" s="29"/>
      <c r="J44" s="29"/>
      <c r="K44" s="29"/>
      <c r="L44" s="29"/>
      <c r="M44" s="29"/>
      <c r="N44" s="29"/>
      <c r="O44" s="29"/>
      <c r="P44" s="29"/>
      <c r="Q44" s="29"/>
      <c r="R44" s="29"/>
      <c r="S44" s="57"/>
      <c r="T44" s="57"/>
      <c r="U44" s="73" t="s">
        <v>134</v>
      </c>
      <c r="V44" s="29"/>
      <c r="W44" s="29"/>
      <c r="X44" s="29"/>
      <c r="Y44" s="29"/>
      <c r="Z44" s="29"/>
      <c r="AA44" s="29"/>
      <c r="AB44" s="29"/>
      <c r="AC44" s="29"/>
      <c r="AD44" s="29"/>
      <c r="AE44" s="29"/>
      <c r="AF44" s="29"/>
      <c r="AG44" s="29"/>
      <c r="AH44" s="29"/>
      <c r="AI44" s="29"/>
      <c r="AJ44" s="29"/>
      <c r="AK44" s="29"/>
      <c r="AL44" s="29"/>
      <c r="AM44" s="29"/>
      <c r="AN44" s="29"/>
    </row>
    <row r="45" spans="1:40" x14ac:dyDescent="0.45">
      <c r="A45" s="29"/>
      <c r="B45" s="29"/>
      <c r="C45" s="29"/>
      <c r="D45" s="29"/>
      <c r="E45" s="29"/>
      <c r="F45" s="29"/>
      <c r="G45" s="29"/>
      <c r="H45" s="29"/>
      <c r="I45" s="29"/>
      <c r="J45" s="29"/>
      <c r="K45" s="29"/>
      <c r="L45" s="29"/>
      <c r="M45" s="29"/>
      <c r="N45" s="29"/>
      <c r="O45" s="29"/>
      <c r="P45" s="29"/>
      <c r="Q45" s="29"/>
      <c r="R45" s="29"/>
      <c r="S45" s="57"/>
      <c r="T45" s="57"/>
      <c r="U45" s="73" t="s">
        <v>134</v>
      </c>
      <c r="V45" s="29"/>
      <c r="W45" s="29"/>
      <c r="X45" s="29"/>
      <c r="Y45" s="29"/>
      <c r="Z45" s="29"/>
      <c r="AA45" s="29"/>
      <c r="AB45" s="29"/>
      <c r="AC45" s="29"/>
      <c r="AD45" s="29"/>
      <c r="AE45" s="29"/>
      <c r="AF45" s="29"/>
      <c r="AG45" s="29"/>
      <c r="AH45" s="29"/>
      <c r="AI45" s="29"/>
      <c r="AJ45" s="29"/>
      <c r="AK45" s="29"/>
      <c r="AL45" s="29"/>
      <c r="AM45" s="29"/>
      <c r="AN45" s="29"/>
    </row>
    <row r="46" spans="1:40" x14ac:dyDescent="0.45">
      <c r="A46" s="29"/>
      <c r="B46" s="29"/>
      <c r="C46" s="29"/>
      <c r="D46" s="29"/>
      <c r="E46" s="29"/>
      <c r="F46" s="29"/>
      <c r="G46" s="29"/>
      <c r="H46" s="29"/>
      <c r="I46" s="29"/>
      <c r="J46" s="29"/>
      <c r="K46" s="29"/>
      <c r="L46" s="29"/>
      <c r="M46" s="29"/>
      <c r="N46" s="29"/>
      <c r="O46" s="29"/>
      <c r="P46" s="29"/>
      <c r="Q46" s="29"/>
      <c r="R46" s="29"/>
      <c r="S46" s="58" t="s">
        <v>367</v>
      </c>
      <c r="T46" s="58"/>
      <c r="U46" s="73"/>
      <c r="V46" s="29"/>
      <c r="W46" s="29"/>
      <c r="X46" s="29"/>
      <c r="Y46" s="29"/>
      <c r="Z46" s="29"/>
      <c r="AA46" s="29"/>
      <c r="AB46" s="29"/>
      <c r="AC46" s="29"/>
      <c r="AD46" s="29"/>
      <c r="AE46" s="29"/>
      <c r="AF46" s="29"/>
      <c r="AG46" s="29"/>
      <c r="AH46" s="29"/>
      <c r="AI46" s="29"/>
      <c r="AJ46" s="29"/>
      <c r="AK46" s="29"/>
      <c r="AL46" s="29"/>
      <c r="AM46" s="29"/>
      <c r="AN46" s="29"/>
    </row>
    <row r="47" spans="1:40" x14ac:dyDescent="0.45">
      <c r="A47" s="29"/>
      <c r="B47" s="29"/>
      <c r="C47" s="29"/>
      <c r="D47" s="29"/>
      <c r="E47" s="29"/>
      <c r="F47" s="29"/>
      <c r="G47" s="29"/>
      <c r="H47" s="29"/>
      <c r="I47" s="29"/>
      <c r="J47" s="29"/>
      <c r="K47" s="29"/>
      <c r="L47" s="29"/>
      <c r="M47" s="29"/>
      <c r="N47" s="29"/>
      <c r="O47" s="29"/>
      <c r="P47" s="29"/>
      <c r="Q47" s="29"/>
      <c r="R47" s="29"/>
      <c r="S47" s="58" t="s">
        <v>128</v>
      </c>
      <c r="T47" s="58" t="e">
        <f>Period/2</f>
        <v>#NAME?</v>
      </c>
      <c r="U47" s="73" t="s">
        <v>44</v>
      </c>
      <c r="V47" s="29"/>
      <c r="W47" s="29"/>
      <c r="X47" s="29"/>
      <c r="Y47" s="29"/>
      <c r="Z47" s="29"/>
      <c r="AA47" s="29"/>
      <c r="AB47" s="29"/>
      <c r="AC47" s="29"/>
      <c r="AD47" s="29"/>
      <c r="AE47" s="29"/>
      <c r="AF47" s="29"/>
      <c r="AG47" s="29"/>
      <c r="AH47" s="29"/>
      <c r="AI47" s="29"/>
      <c r="AJ47" s="29"/>
      <c r="AK47" s="29"/>
      <c r="AL47" s="29"/>
      <c r="AM47" s="29"/>
      <c r="AN47" s="29"/>
    </row>
    <row r="48" spans="1:40" x14ac:dyDescent="0.45">
      <c r="A48" s="29"/>
      <c r="B48" s="29"/>
      <c r="C48" s="29"/>
      <c r="D48" s="29"/>
      <c r="E48" s="29"/>
      <c r="F48" s="29"/>
      <c r="G48" s="29"/>
      <c r="H48" s="29"/>
      <c r="I48" s="29"/>
      <c r="J48" s="29"/>
      <c r="K48" s="29"/>
      <c r="L48" s="29"/>
      <c r="M48" s="29"/>
      <c r="N48" s="29"/>
      <c r="O48" s="29"/>
      <c r="P48" s="29"/>
      <c r="Q48" s="29"/>
      <c r="R48" s="29"/>
      <c r="S48" s="58" t="s">
        <v>129</v>
      </c>
      <c r="T48" s="58" t="e">
        <f>Period/4</f>
        <v>#NAME?</v>
      </c>
      <c r="U48" s="73" t="s">
        <v>44</v>
      </c>
      <c r="V48" s="29"/>
      <c r="W48" s="29"/>
      <c r="X48" s="29"/>
      <c r="Y48" s="29"/>
      <c r="Z48" s="29"/>
      <c r="AA48" s="29"/>
      <c r="AB48" s="29"/>
      <c r="AC48" s="29"/>
      <c r="AD48" s="29"/>
      <c r="AE48" s="29"/>
      <c r="AF48" s="29"/>
      <c r="AG48" s="29"/>
      <c r="AH48" s="29"/>
      <c r="AI48" s="29"/>
      <c r="AJ48" s="29"/>
      <c r="AK48" s="29"/>
      <c r="AL48" s="29"/>
      <c r="AM48" s="29"/>
      <c r="AN48" s="29"/>
    </row>
    <row r="49" spans="1:46" x14ac:dyDescent="0.45">
      <c r="S49" s="58" t="s">
        <v>126</v>
      </c>
      <c r="T49" s="58" t="e">
        <f>ArcAngle/2</f>
        <v>#NAME?</v>
      </c>
      <c r="U49" s="73" t="s">
        <v>177</v>
      </c>
    </row>
    <row r="50" spans="1:46" x14ac:dyDescent="0.45">
      <c r="S50" s="58" t="s">
        <v>316</v>
      </c>
      <c r="T50" s="58" t="e">
        <f>NumberOfLayers*SecondLayerOffset</f>
        <v>#NAME?</v>
      </c>
      <c r="U50" s="73" t="s">
        <v>44</v>
      </c>
    </row>
    <row r="51" spans="1:46" x14ac:dyDescent="0.45">
      <c r="S51" s="58" t="s">
        <v>315</v>
      </c>
      <c r="T51" s="58">
        <f>_xlfn.SINGLE(Height)/2</f>
        <v>50</v>
      </c>
      <c r="U51" s="73" t="s">
        <v>44</v>
      </c>
    </row>
    <row r="53" spans="1:46" x14ac:dyDescent="0.45">
      <c r="A53" s="47" t="s">
        <v>169</v>
      </c>
      <c r="B53" s="2" t="s">
        <v>362</v>
      </c>
      <c r="C53" s="47" t="s">
        <v>168</v>
      </c>
      <c r="D53" s="2" t="s">
        <v>374</v>
      </c>
      <c r="E53" s="29"/>
      <c r="F53" s="29"/>
      <c r="G53" s="29"/>
      <c r="H53" s="29"/>
      <c r="I53" s="29"/>
      <c r="J53" s="29"/>
      <c r="K53" s="29"/>
      <c r="L53" s="29"/>
      <c r="M53" s="29"/>
      <c r="N53" s="29"/>
      <c r="O53" s="29"/>
      <c r="P53" s="29"/>
      <c r="AO53" t="s">
        <v>170</v>
      </c>
      <c r="AP53" t="s">
        <v>361</v>
      </c>
      <c r="AQ53" t="s">
        <v>169</v>
      </c>
      <c r="AR53" t="s">
        <v>362</v>
      </c>
      <c r="AS53" t="s">
        <v>168</v>
      </c>
      <c r="AT53" t="s">
        <v>374</v>
      </c>
    </row>
    <row r="54" spans="1:46" x14ac:dyDescent="0.45">
      <c r="A54" s="35" t="s">
        <v>0</v>
      </c>
      <c r="B54" s="36"/>
      <c r="C54" s="18"/>
      <c r="D54" s="18"/>
      <c r="E54" s="18"/>
      <c r="F54" s="18"/>
      <c r="G54" s="18"/>
      <c r="H54" s="18"/>
      <c r="I54" s="18"/>
      <c r="J54" s="18"/>
      <c r="K54" s="18"/>
      <c r="L54" s="18"/>
      <c r="M54" s="18"/>
      <c r="N54" s="18"/>
      <c r="O54" s="18"/>
      <c r="P54" s="18"/>
      <c r="Q54" s="47" t="s">
        <v>329</v>
      </c>
    </row>
    <row r="55" spans="1:46" x14ac:dyDescent="0.45">
      <c r="A55" s="20">
        <v>1</v>
      </c>
      <c r="B55" s="28" t="s">
        <v>1</v>
      </c>
      <c r="C55" s="28" t="s">
        <v>18</v>
      </c>
      <c r="D55" s="28">
        <v>50</v>
      </c>
      <c r="E55" s="28">
        <v>50</v>
      </c>
      <c r="F55" s="28">
        <v>0</v>
      </c>
      <c r="G55" s="28" t="s">
        <v>124</v>
      </c>
      <c r="H55" s="28" t="s">
        <v>164</v>
      </c>
      <c r="I55" s="28" t="s">
        <v>124</v>
      </c>
      <c r="J55" s="28" t="s">
        <v>19</v>
      </c>
      <c r="K55" s="28" t="e">
        <f>ShoulderThickness</f>
        <v>#NAME?</v>
      </c>
      <c r="L55" s="28" t="e">
        <f>LayerHeight</f>
        <v>#NAME?</v>
      </c>
      <c r="M55" s="28"/>
      <c r="N55" s="28"/>
      <c r="O55" s="28"/>
      <c r="P55" s="28"/>
      <c r="Q55" s="6" t="s">
        <v>350</v>
      </c>
      <c r="S55" s="76" t="s">
        <v>40</v>
      </c>
      <c r="T55" s="3"/>
      <c r="U55" s="5"/>
    </row>
    <row r="56" spans="1:46" x14ac:dyDescent="0.45">
      <c r="A56" s="20">
        <v>2</v>
      </c>
      <c r="B56" s="26" t="s">
        <v>55</v>
      </c>
      <c r="C56" s="19" t="s">
        <v>330</v>
      </c>
      <c r="D56" s="26">
        <f>50+(45/2)</f>
        <v>72.5</v>
      </c>
      <c r="E56" s="26">
        <f>50+(45/2)</f>
        <v>72.5</v>
      </c>
      <c r="F56" s="26">
        <v>-90</v>
      </c>
      <c r="G56" s="26">
        <v>0</v>
      </c>
      <c r="H56" s="26">
        <v>3</v>
      </c>
      <c r="I56" s="26"/>
      <c r="J56" s="26"/>
      <c r="K56" s="26"/>
      <c r="L56" s="26"/>
      <c r="M56" s="26"/>
      <c r="N56" s="26"/>
      <c r="O56" s="26"/>
      <c r="P56" s="26"/>
      <c r="Q56" s="24" t="s">
        <v>351</v>
      </c>
      <c r="S56" s="5" t="s">
        <v>122</v>
      </c>
      <c r="T56" s="5">
        <v>0.2</v>
      </c>
      <c r="U56" s="5" t="s">
        <v>44</v>
      </c>
    </row>
    <row r="57" spans="1:46" x14ac:dyDescent="0.45">
      <c r="A57" s="20">
        <v>3</v>
      </c>
      <c r="B57" s="23" t="s">
        <v>56</v>
      </c>
      <c r="C57" s="22" t="s">
        <v>325</v>
      </c>
      <c r="D57" s="23">
        <v>0</v>
      </c>
      <c r="E57" s="23">
        <v>0</v>
      </c>
      <c r="F57" s="23" t="e">
        <f>LayerHeight</f>
        <v>#NAME?</v>
      </c>
      <c r="G57" s="23" t="e">
        <f>(45/LayerHeight)-1</f>
        <v>#NAME?</v>
      </c>
      <c r="H57" s="23"/>
      <c r="I57" s="23"/>
      <c r="J57" s="23"/>
      <c r="K57" s="23"/>
      <c r="L57" s="23"/>
      <c r="M57" s="23"/>
      <c r="N57" s="23"/>
      <c r="O57" s="23"/>
      <c r="P57" s="23"/>
      <c r="Q57" s="7" t="s">
        <v>352</v>
      </c>
      <c r="S57" s="5" t="s">
        <v>95</v>
      </c>
      <c r="T57" s="5">
        <v>1</v>
      </c>
      <c r="U57" s="5" t="s">
        <v>97</v>
      </c>
    </row>
    <row r="58" spans="1:46" x14ac:dyDescent="0.45">
      <c r="A58" s="20">
        <v>4</v>
      </c>
      <c r="B58" s="30" t="s">
        <v>53</v>
      </c>
      <c r="C58" s="30">
        <v>3</v>
      </c>
      <c r="D58" s="31" t="s">
        <v>22</v>
      </c>
      <c r="E58" s="30" t="e">
        <f>14/LayerHeight-1</f>
        <v>#NAME?</v>
      </c>
      <c r="F58" s="30" t="e">
        <f>(14+1.4)/LayerHeight-1</f>
        <v>#NAME?</v>
      </c>
      <c r="G58" s="30" t="s">
        <v>24</v>
      </c>
      <c r="H58" s="30" t="e">
        <f>-(ShoulderThickness-GaugeThickness)/(F58-E58)</f>
        <v>#NAME?</v>
      </c>
      <c r="I58" s="30"/>
      <c r="J58" s="30"/>
      <c r="K58" s="30"/>
      <c r="L58" s="30"/>
      <c r="M58" s="30"/>
      <c r="N58" s="30"/>
      <c r="O58" s="30"/>
      <c r="P58" s="30"/>
      <c r="Q58" s="9" t="s">
        <v>354</v>
      </c>
      <c r="S58" s="5" t="s">
        <v>96</v>
      </c>
      <c r="T58" s="5">
        <v>1</v>
      </c>
      <c r="U58" s="5" t="s">
        <v>97</v>
      </c>
    </row>
    <row r="59" spans="1:46" x14ac:dyDescent="0.45">
      <c r="A59" s="20">
        <v>5</v>
      </c>
      <c r="B59" s="32" t="s">
        <v>53</v>
      </c>
      <c r="C59" s="32">
        <v>3</v>
      </c>
      <c r="D59" s="33" t="s">
        <v>22</v>
      </c>
      <c r="E59" s="32" t="e">
        <f>(14+1.4)/LayerHeight-1</f>
        <v>#NAME?</v>
      </c>
      <c r="F59" s="32" t="e">
        <f>(14+1.4+14)/LayerHeight-1</f>
        <v>#NAME?</v>
      </c>
      <c r="G59" s="32" t="s">
        <v>15</v>
      </c>
      <c r="H59" s="32" t="e">
        <f>GaugeThickness</f>
        <v>#NAME?</v>
      </c>
      <c r="I59" s="32"/>
      <c r="J59" s="32"/>
      <c r="K59" s="32"/>
      <c r="L59" s="32"/>
      <c r="M59" s="32"/>
      <c r="N59" s="32"/>
      <c r="O59" s="32"/>
      <c r="P59" s="32"/>
      <c r="Q59" s="17" t="s">
        <v>353</v>
      </c>
      <c r="S59" s="5" t="s">
        <v>233</v>
      </c>
      <c r="T59" s="5" t="s">
        <v>244</v>
      </c>
      <c r="U59" s="5"/>
    </row>
    <row r="60" spans="1:46" x14ac:dyDescent="0.45">
      <c r="A60" s="20">
        <v>6</v>
      </c>
      <c r="B60" s="27" t="s">
        <v>53</v>
      </c>
      <c r="C60" s="27">
        <v>3</v>
      </c>
      <c r="D60" s="34" t="s">
        <v>22</v>
      </c>
      <c r="E60" s="27" t="e">
        <f>(14+1.4+14)/LayerHeight-1</f>
        <v>#NAME?</v>
      </c>
      <c r="F60" s="27" t="e">
        <f>(14+1.4+14+1.4)/LayerHeight-1</f>
        <v>#NAME?</v>
      </c>
      <c r="G60" s="27" t="s">
        <v>15</v>
      </c>
      <c r="H60" s="27" t="e">
        <f>GaugeThickness</f>
        <v>#NAME?</v>
      </c>
      <c r="I60" s="27"/>
      <c r="J60" s="27"/>
      <c r="K60" s="27"/>
      <c r="L60" s="27"/>
      <c r="M60" s="27"/>
      <c r="N60" s="27"/>
      <c r="O60" s="27"/>
      <c r="P60" s="27"/>
      <c r="Q60" s="16" t="s">
        <v>356</v>
      </c>
      <c r="S60" s="5" t="s">
        <v>234</v>
      </c>
      <c r="T60" s="5">
        <v>0</v>
      </c>
      <c r="U60" s="5"/>
    </row>
    <row r="61" spans="1:46" x14ac:dyDescent="0.45">
      <c r="A61" s="20">
        <v>7</v>
      </c>
      <c r="B61" s="27" t="s">
        <v>53</v>
      </c>
      <c r="C61" s="27">
        <v>3</v>
      </c>
      <c r="D61" s="34"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355</v>
      </c>
      <c r="S61" s="46"/>
      <c r="T61" s="46"/>
      <c r="U61" s="71"/>
    </row>
    <row r="62" spans="1:46" x14ac:dyDescent="0.45">
      <c r="A62" s="20">
        <v>8</v>
      </c>
      <c r="B62" s="20"/>
      <c r="C62" s="20"/>
      <c r="D62" s="20"/>
      <c r="E62" s="20"/>
      <c r="F62" s="20"/>
      <c r="G62" s="20"/>
      <c r="H62" s="20"/>
      <c r="I62" s="20"/>
      <c r="J62" s="20"/>
      <c r="K62" s="20"/>
      <c r="L62" s="20"/>
      <c r="M62" s="20"/>
      <c r="N62" s="20"/>
      <c r="O62" s="20"/>
      <c r="P62" s="20"/>
      <c r="Q62" s="20"/>
      <c r="S62" s="5" t="s">
        <v>378</v>
      </c>
      <c r="T62" s="5">
        <v>60</v>
      </c>
      <c r="U62" s="5" t="s">
        <v>43</v>
      </c>
      <c r="V62" s="1"/>
    </row>
    <row r="63" spans="1:46" x14ac:dyDescent="0.45">
      <c r="A63" s="20">
        <v>9</v>
      </c>
      <c r="B63" s="20"/>
      <c r="C63" s="20"/>
      <c r="D63" s="20" t="s">
        <v>357</v>
      </c>
      <c r="E63" s="20"/>
      <c r="F63" s="40" t="s">
        <v>358</v>
      </c>
      <c r="G63" s="20"/>
      <c r="H63" s="20"/>
      <c r="I63" s="20"/>
      <c r="J63" s="20"/>
      <c r="K63" s="20"/>
      <c r="L63" s="20"/>
      <c r="M63" s="20"/>
      <c r="N63" s="20"/>
      <c r="O63" s="20"/>
      <c r="P63" s="20"/>
      <c r="Q63" s="20"/>
      <c r="S63" s="5" t="s">
        <v>93</v>
      </c>
      <c r="T63" s="5">
        <v>1000</v>
      </c>
      <c r="U63" s="5" t="s">
        <v>45</v>
      </c>
    </row>
    <row r="64" spans="1:46" x14ac:dyDescent="0.45">
      <c r="A64" s="20">
        <v>10</v>
      </c>
      <c r="B64" s="20"/>
      <c r="C64" s="20"/>
      <c r="D64" s="20"/>
      <c r="E64" s="20"/>
      <c r="F64" s="40" t="s">
        <v>359</v>
      </c>
      <c r="G64" s="20"/>
      <c r="H64" s="20"/>
      <c r="I64" s="20"/>
      <c r="J64" s="20"/>
      <c r="K64" s="20"/>
      <c r="L64" s="20"/>
      <c r="M64" s="20"/>
      <c r="N64" s="20"/>
      <c r="O64" s="20"/>
      <c r="P64" s="20"/>
      <c r="Q64" s="20"/>
      <c r="S64" s="5" t="s">
        <v>94</v>
      </c>
      <c r="T64" s="5">
        <v>9000</v>
      </c>
      <c r="U64" s="5" t="s">
        <v>45</v>
      </c>
    </row>
    <row r="65" spans="1:22" x14ac:dyDescent="0.45">
      <c r="A65" s="20">
        <v>11</v>
      </c>
      <c r="B65" s="20"/>
      <c r="C65" s="20"/>
      <c r="D65" s="20"/>
      <c r="E65" s="20"/>
      <c r="F65" s="40" t="s">
        <v>360</v>
      </c>
      <c r="G65" s="20"/>
      <c r="H65" s="20"/>
      <c r="I65" s="20"/>
      <c r="J65" s="20"/>
      <c r="K65" s="20"/>
      <c r="L65" s="20"/>
      <c r="M65" s="20"/>
      <c r="N65" s="20"/>
      <c r="O65" s="20"/>
      <c r="P65" s="20"/>
      <c r="Q65" s="20"/>
      <c r="S65" s="5" t="s">
        <v>41</v>
      </c>
      <c r="T65" s="5">
        <v>210</v>
      </c>
      <c r="U65" s="5" t="s">
        <v>43</v>
      </c>
      <c r="V65" s="1"/>
    </row>
    <row r="66" spans="1:22" x14ac:dyDescent="0.4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45">
      <c r="A67" s="29"/>
      <c r="B67" s="29"/>
      <c r="C67" s="29"/>
      <c r="D67" s="29"/>
      <c r="E67" s="29"/>
      <c r="F67" s="29"/>
      <c r="G67" s="29"/>
      <c r="H67" s="29"/>
      <c r="I67" s="29"/>
      <c r="J67" s="29"/>
      <c r="K67" s="29"/>
      <c r="L67" s="29"/>
      <c r="M67" s="29"/>
      <c r="N67" s="29"/>
      <c r="O67" s="29"/>
      <c r="P67" s="29"/>
      <c r="Q67" s="29"/>
      <c r="S67" s="5" t="s">
        <v>46</v>
      </c>
      <c r="T67" s="5" t="s">
        <v>89</v>
      </c>
      <c r="U67" s="5" t="s">
        <v>98</v>
      </c>
    </row>
    <row r="68" spans="1:22" x14ac:dyDescent="0.45">
      <c r="A68" s="29"/>
      <c r="B68" s="29"/>
      <c r="C68" s="29"/>
      <c r="D68" s="29"/>
      <c r="E68" s="29"/>
      <c r="F68" s="29"/>
      <c r="G68" s="29"/>
      <c r="H68" s="29"/>
      <c r="I68" s="29"/>
      <c r="J68" s="29"/>
      <c r="K68" s="29"/>
      <c r="L68" s="29"/>
      <c r="M68" s="29"/>
      <c r="N68" s="29"/>
      <c r="O68" s="29"/>
      <c r="P68" s="29"/>
      <c r="Q68" s="29"/>
      <c r="S68" s="5" t="s">
        <v>132</v>
      </c>
      <c r="T68" s="5" t="s">
        <v>193</v>
      </c>
      <c r="U68" s="5"/>
    </row>
    <row r="69" spans="1:22" x14ac:dyDescent="0.45">
      <c r="A69" s="29"/>
      <c r="B69" s="29"/>
      <c r="C69" s="29"/>
      <c r="D69" s="29"/>
      <c r="E69" s="29"/>
      <c r="F69" s="29"/>
      <c r="G69" s="29"/>
      <c r="H69" s="29"/>
      <c r="I69" s="29"/>
      <c r="J69" s="29"/>
      <c r="K69" s="29"/>
      <c r="L69" s="29"/>
      <c r="M69" s="29"/>
      <c r="N69" s="29"/>
      <c r="O69" s="29"/>
      <c r="P69" s="29"/>
      <c r="Q69" s="29"/>
      <c r="S69" s="5" t="s">
        <v>192</v>
      </c>
      <c r="T69" s="5" t="s">
        <v>163</v>
      </c>
      <c r="U69" s="5"/>
    </row>
    <row r="70" spans="1:22" x14ac:dyDescent="0.45">
      <c r="A70" s="29"/>
      <c r="B70" s="29"/>
      <c r="C70" s="29"/>
      <c r="D70" s="29"/>
      <c r="E70" s="29"/>
      <c r="F70" s="29"/>
      <c r="G70" s="29"/>
      <c r="H70" s="29"/>
      <c r="I70" s="29"/>
      <c r="J70" s="29"/>
      <c r="K70" s="29"/>
      <c r="L70" s="29"/>
      <c r="M70" s="29"/>
      <c r="N70" s="29"/>
      <c r="O70" s="29"/>
      <c r="P70" s="29"/>
      <c r="Q70" s="29"/>
      <c r="S70" s="5" t="s">
        <v>207</v>
      </c>
      <c r="T70" s="5">
        <v>20</v>
      </c>
      <c r="U70" s="5" t="s">
        <v>44</v>
      </c>
    </row>
    <row r="71" spans="1:22" x14ac:dyDescent="0.45">
      <c r="A71" s="29"/>
      <c r="B71" s="29"/>
      <c r="C71" s="29"/>
      <c r="D71" s="29"/>
      <c r="E71" s="29"/>
      <c r="F71" s="29"/>
      <c r="G71" s="29"/>
      <c r="H71" s="29"/>
      <c r="I71" s="29"/>
      <c r="J71" s="29"/>
      <c r="K71" s="29"/>
      <c r="L71" s="29"/>
      <c r="M71" s="29"/>
      <c r="N71" s="29"/>
      <c r="O71" s="29"/>
      <c r="P71" s="29"/>
      <c r="Q71" s="29"/>
      <c r="S71" s="5" t="s">
        <v>208</v>
      </c>
      <c r="T71" s="5">
        <v>10</v>
      </c>
      <c r="U71" s="5" t="s">
        <v>44</v>
      </c>
    </row>
    <row r="72" spans="1:22" x14ac:dyDescent="0.45">
      <c r="A72" s="29"/>
      <c r="B72" s="29"/>
      <c r="C72" s="29"/>
      <c r="D72" s="29"/>
      <c r="E72" s="29"/>
      <c r="F72" s="29"/>
      <c r="G72" s="29"/>
      <c r="H72" s="29"/>
      <c r="I72" s="29"/>
      <c r="J72" s="29"/>
      <c r="K72" s="29"/>
      <c r="L72" s="29"/>
      <c r="M72" s="29"/>
      <c r="N72" s="29"/>
      <c r="O72" s="29"/>
      <c r="P72" s="29"/>
      <c r="Q72" s="29"/>
      <c r="S72" s="5" t="s">
        <v>209</v>
      </c>
      <c r="T72" s="5">
        <v>0.3</v>
      </c>
      <c r="U72" s="5" t="s">
        <v>44</v>
      </c>
    </row>
    <row r="73" spans="1:22" x14ac:dyDescent="0.45">
      <c r="A73" s="29"/>
      <c r="B73" s="29"/>
      <c r="C73" s="29"/>
      <c r="D73" s="29"/>
      <c r="E73" s="29"/>
      <c r="F73" s="29"/>
      <c r="G73" s="29"/>
      <c r="H73" s="29"/>
      <c r="I73" s="29"/>
      <c r="J73" s="29"/>
      <c r="K73" s="29"/>
      <c r="L73" s="29"/>
      <c r="M73" s="29"/>
      <c r="N73" s="29"/>
      <c r="O73" s="29"/>
      <c r="P73" s="29"/>
      <c r="Q73" s="29"/>
      <c r="S73" s="59" t="s">
        <v>379</v>
      </c>
      <c r="T73" s="5">
        <v>0</v>
      </c>
      <c r="U73" s="5"/>
      <c r="V73" s="1"/>
    </row>
    <row r="74" spans="1:22" x14ac:dyDescent="0.45">
      <c r="A74" s="29"/>
      <c r="B74" s="29"/>
      <c r="C74" s="29"/>
      <c r="D74" s="29"/>
      <c r="E74" s="29"/>
      <c r="F74" s="29"/>
      <c r="G74" s="29"/>
      <c r="H74" s="29"/>
      <c r="I74" s="29"/>
      <c r="J74" s="29"/>
      <c r="K74" s="29"/>
      <c r="L74" s="29"/>
      <c r="M74" s="29"/>
      <c r="N74" s="29"/>
      <c r="O74" s="29"/>
      <c r="P74" s="29"/>
      <c r="Q74" s="29"/>
      <c r="S74" s="5" t="s">
        <v>194</v>
      </c>
      <c r="T74" s="5" t="s">
        <v>206</v>
      </c>
      <c r="U74" s="5" t="s">
        <v>198</v>
      </c>
    </row>
    <row r="75" spans="1:22" x14ac:dyDescent="0.45">
      <c r="A75" s="29"/>
      <c r="B75" s="29"/>
      <c r="C75" s="29"/>
      <c r="D75" s="29"/>
      <c r="E75" s="29"/>
      <c r="F75" s="29"/>
      <c r="G75" s="29"/>
      <c r="H75" s="29"/>
      <c r="I75" s="29"/>
      <c r="J75" s="29"/>
      <c r="K75" s="29"/>
      <c r="L75" s="29"/>
      <c r="M75" s="29"/>
      <c r="N75" s="29"/>
      <c r="O75" s="29"/>
      <c r="P75" s="29"/>
      <c r="Q75" s="29"/>
      <c r="S75" s="5" t="s">
        <v>199</v>
      </c>
      <c r="T75" s="5">
        <v>5</v>
      </c>
      <c r="U75" s="5" t="s">
        <v>44</v>
      </c>
      <c r="V75" s="1"/>
    </row>
    <row r="76" spans="1:22" x14ac:dyDescent="0.45">
      <c r="A76" s="29"/>
      <c r="B76" s="29"/>
      <c r="C76" s="29"/>
      <c r="D76" s="29"/>
      <c r="E76" s="29"/>
      <c r="F76" s="29"/>
      <c r="G76" s="29"/>
      <c r="H76" s="29"/>
      <c r="I76" s="29"/>
      <c r="J76" s="29"/>
      <c r="K76" s="29"/>
      <c r="L76" s="29"/>
      <c r="M76" s="29"/>
      <c r="N76" s="29"/>
      <c r="O76" s="29"/>
      <c r="P76" s="29"/>
      <c r="Q76" s="29"/>
      <c r="S76" s="5" t="s">
        <v>200</v>
      </c>
      <c r="T76" s="5">
        <v>7</v>
      </c>
      <c r="U76" s="5" t="s">
        <v>98</v>
      </c>
    </row>
    <row r="77" spans="1:22" x14ac:dyDescent="0.45">
      <c r="A77" s="29"/>
      <c r="B77" s="29"/>
      <c r="C77" s="29"/>
      <c r="D77" s="29"/>
      <c r="E77" s="29"/>
      <c r="F77" s="29"/>
      <c r="G77" s="29"/>
      <c r="H77" s="29"/>
      <c r="I77" s="29"/>
      <c r="J77" s="29"/>
      <c r="K77" s="29"/>
      <c r="L77" s="29"/>
      <c r="M77" s="29"/>
      <c r="N77" s="29"/>
      <c r="O77" s="29"/>
      <c r="P77" s="29"/>
      <c r="Q77" s="29"/>
      <c r="S77" s="5" t="s">
        <v>201</v>
      </c>
      <c r="T77" s="5">
        <v>2500</v>
      </c>
      <c r="U77" s="5" t="s">
        <v>45</v>
      </c>
    </row>
    <row r="78" spans="1:22" x14ac:dyDescent="0.45">
      <c r="A78" s="29"/>
      <c r="B78" s="29"/>
      <c r="C78" s="29"/>
      <c r="D78" s="29"/>
      <c r="E78" s="29"/>
      <c r="F78" s="29"/>
      <c r="G78" s="29"/>
      <c r="H78" s="29"/>
      <c r="I78" s="29"/>
      <c r="J78" s="29"/>
      <c r="K78" s="29"/>
      <c r="L78" s="29"/>
      <c r="M78" s="29"/>
      <c r="N78" s="29"/>
      <c r="O78" s="29"/>
      <c r="P78" s="29"/>
      <c r="Q78" s="29"/>
      <c r="S78" s="5" t="s">
        <v>202</v>
      </c>
      <c r="T78" s="5">
        <f>-T76</f>
        <v>-7</v>
      </c>
      <c r="U78" s="5" t="s">
        <v>98</v>
      </c>
    </row>
    <row r="79" spans="1:22" x14ac:dyDescent="0.45">
      <c r="A79" s="29"/>
      <c r="B79" s="29"/>
      <c r="C79" s="29"/>
      <c r="D79" s="29"/>
      <c r="E79" s="29"/>
      <c r="F79" s="29"/>
      <c r="G79" s="29"/>
      <c r="H79" s="29"/>
      <c r="I79" s="29"/>
      <c r="J79" s="29"/>
      <c r="K79" s="29"/>
      <c r="L79" s="29"/>
      <c r="M79" s="29"/>
      <c r="N79" s="29"/>
      <c r="O79" s="29"/>
      <c r="P79" s="29"/>
      <c r="Q79" s="29"/>
      <c r="S79" s="3" t="s">
        <v>203</v>
      </c>
      <c r="T79" s="3">
        <f>T77</f>
        <v>2500</v>
      </c>
      <c r="U79" s="5" t="s">
        <v>45</v>
      </c>
    </row>
    <row r="80" spans="1:22" x14ac:dyDescent="0.45">
      <c r="A80" s="29"/>
      <c r="B80" s="29"/>
      <c r="C80" s="29"/>
      <c r="D80" s="29"/>
      <c r="E80" s="29"/>
      <c r="F80" s="29"/>
      <c r="G80" s="29"/>
      <c r="H80" s="29"/>
      <c r="I80" s="29"/>
      <c r="J80" s="29"/>
      <c r="K80" s="29"/>
      <c r="L80" s="29"/>
      <c r="M80" s="29"/>
      <c r="N80" s="29"/>
      <c r="O80" s="29"/>
      <c r="P80" s="29"/>
      <c r="Q80" s="29"/>
      <c r="S80" s="3" t="s">
        <v>204</v>
      </c>
      <c r="T80" s="3">
        <v>0.2</v>
      </c>
      <c r="U80" s="5" t="s">
        <v>44</v>
      </c>
    </row>
    <row r="81" spans="1:46" x14ac:dyDescent="0.45">
      <c r="A81" s="29"/>
      <c r="B81" s="29"/>
      <c r="C81" s="29"/>
      <c r="D81" s="29"/>
      <c r="E81" s="29"/>
      <c r="F81" s="29"/>
      <c r="G81" s="29"/>
      <c r="H81" s="29"/>
      <c r="I81" s="29"/>
      <c r="J81" s="29"/>
      <c r="K81" s="29"/>
      <c r="L81" s="29"/>
      <c r="M81" s="29"/>
      <c r="N81" s="29"/>
      <c r="O81" s="29"/>
      <c r="P81" s="29"/>
      <c r="Q81" s="29"/>
      <c r="S81" s="3" t="s">
        <v>205</v>
      </c>
      <c r="T81" s="3">
        <v>7500</v>
      </c>
      <c r="U81" s="5" t="s">
        <v>45</v>
      </c>
    </row>
    <row r="82" spans="1:46" x14ac:dyDescent="0.45">
      <c r="A82" s="29"/>
      <c r="B82" s="29"/>
      <c r="C82" s="29"/>
      <c r="D82" s="29"/>
      <c r="E82" s="29"/>
      <c r="F82" s="29"/>
      <c r="G82" s="29"/>
      <c r="H82" s="29"/>
      <c r="I82" s="29"/>
      <c r="J82" s="29"/>
      <c r="K82" s="29"/>
      <c r="L82" s="29"/>
      <c r="M82" s="29"/>
      <c r="N82" s="29"/>
      <c r="O82" s="29"/>
      <c r="P82" s="29"/>
      <c r="Q82" s="29"/>
      <c r="S82" s="29"/>
      <c r="T82" s="29"/>
      <c r="U82" s="72"/>
      <c r="V82" s="29"/>
      <c r="W82" s="29"/>
      <c r="X82" s="29"/>
      <c r="Y82" s="29"/>
      <c r="Z82" s="29"/>
      <c r="AA82" s="29"/>
      <c r="AB82" s="29"/>
      <c r="AC82" s="29"/>
      <c r="AE82" s="29"/>
      <c r="AF82" s="29"/>
    </row>
    <row r="83" spans="1:46" x14ac:dyDescent="0.45">
      <c r="A83" s="29"/>
      <c r="B83" s="29"/>
      <c r="C83" s="29"/>
      <c r="D83" s="29"/>
      <c r="E83" s="29"/>
      <c r="F83" s="29"/>
      <c r="G83" s="29"/>
      <c r="H83" s="29"/>
      <c r="I83" s="29"/>
      <c r="J83" s="29"/>
      <c r="K83" s="29"/>
      <c r="L83" s="29"/>
      <c r="M83" s="29"/>
      <c r="N83" s="29"/>
      <c r="O83" s="29"/>
      <c r="P83" s="29"/>
      <c r="Q83" s="29"/>
      <c r="S83" s="77" t="s">
        <v>332</v>
      </c>
      <c r="T83" s="77" t="s">
        <v>333</v>
      </c>
      <c r="U83" s="78" t="s">
        <v>371</v>
      </c>
      <c r="V83" s="29"/>
      <c r="W83" s="29"/>
      <c r="X83" s="29"/>
      <c r="Y83" s="29"/>
      <c r="Z83" s="29"/>
      <c r="AA83" s="29"/>
      <c r="AB83" s="29"/>
      <c r="AC83" s="29"/>
      <c r="AD83" s="29"/>
      <c r="AE83" s="29"/>
      <c r="AF83" s="29"/>
    </row>
    <row r="84" spans="1:46" x14ac:dyDescent="0.45">
      <c r="A84" s="29"/>
      <c r="B84" s="29"/>
      <c r="C84" s="29"/>
      <c r="D84" s="29"/>
      <c r="E84" s="29"/>
      <c r="F84" s="29"/>
      <c r="G84" s="29"/>
      <c r="H84" s="29"/>
      <c r="I84" s="29"/>
      <c r="J84" s="29"/>
      <c r="K84" s="29"/>
      <c r="L84" s="29"/>
      <c r="M84" s="29"/>
      <c r="N84" s="29"/>
      <c r="O84" s="29"/>
      <c r="P84" s="29"/>
      <c r="Q84" s="29"/>
      <c r="R84" s="29"/>
      <c r="S84" s="57"/>
      <c r="T84" s="57"/>
      <c r="U84" s="73"/>
      <c r="V84" s="29"/>
      <c r="W84" s="29"/>
      <c r="X84" s="29"/>
      <c r="Y84" s="29"/>
      <c r="Z84" s="29"/>
      <c r="AA84" s="29"/>
      <c r="AB84" s="29"/>
      <c r="AC84" s="29"/>
      <c r="AD84" s="29"/>
      <c r="AE84" s="29"/>
      <c r="AF84" s="29"/>
      <c r="AG84" s="29"/>
      <c r="AH84" s="29"/>
      <c r="AI84" s="29"/>
      <c r="AJ84" s="29"/>
      <c r="AK84" s="29"/>
      <c r="AL84" s="29"/>
      <c r="AM84" s="29"/>
      <c r="AN84" s="29"/>
    </row>
    <row r="85" spans="1:46" x14ac:dyDescent="0.45">
      <c r="A85" s="29"/>
      <c r="B85" s="29"/>
      <c r="C85" s="29"/>
      <c r="D85" s="29"/>
      <c r="E85" s="29"/>
      <c r="F85" s="29"/>
      <c r="G85" s="29"/>
      <c r="H85" s="29"/>
      <c r="I85" s="29"/>
      <c r="J85" s="29"/>
      <c r="K85" s="29"/>
      <c r="L85" s="29"/>
      <c r="M85" s="29"/>
      <c r="N85" s="29"/>
      <c r="O85" s="29"/>
      <c r="P85" s="29"/>
      <c r="Q85" s="29"/>
      <c r="R85" s="29"/>
      <c r="S85" s="57" t="s">
        <v>349</v>
      </c>
      <c r="T85" s="57">
        <v>0.2</v>
      </c>
      <c r="U85" s="73" t="s">
        <v>44</v>
      </c>
      <c r="V85" s="29"/>
      <c r="W85" s="29"/>
      <c r="X85" s="29"/>
      <c r="Y85" s="29"/>
      <c r="Z85" s="29"/>
      <c r="AA85" s="29"/>
      <c r="AB85" s="29"/>
      <c r="AC85" s="29"/>
      <c r="AD85" s="29"/>
      <c r="AE85" s="29"/>
      <c r="AF85" s="29"/>
      <c r="AG85" s="29"/>
      <c r="AH85" s="29"/>
      <c r="AI85" s="29"/>
      <c r="AJ85" s="29"/>
      <c r="AK85" s="29"/>
      <c r="AL85" s="29"/>
      <c r="AM85" s="29"/>
      <c r="AN85" s="29"/>
    </row>
    <row r="86" spans="1:46" x14ac:dyDescent="0.45">
      <c r="A86" s="29"/>
      <c r="B86" s="29"/>
      <c r="C86" s="29"/>
      <c r="D86" s="29"/>
      <c r="E86" s="29"/>
      <c r="F86" s="29"/>
      <c r="G86" s="29"/>
      <c r="H86" s="29"/>
      <c r="I86" s="29"/>
      <c r="J86" s="29"/>
      <c r="K86" s="29"/>
      <c r="L86" s="29"/>
      <c r="M86" s="29"/>
      <c r="N86" s="29"/>
      <c r="O86" s="29"/>
      <c r="P86" s="29"/>
      <c r="Q86" s="29"/>
      <c r="R86" s="29"/>
      <c r="S86" s="57" t="s">
        <v>347</v>
      </c>
      <c r="T86" s="57">
        <v>1</v>
      </c>
      <c r="U86" s="73" t="s">
        <v>44</v>
      </c>
      <c r="V86" s="29"/>
      <c r="W86" s="29"/>
      <c r="X86" s="29"/>
      <c r="Y86" s="29"/>
      <c r="Z86" s="29"/>
      <c r="AA86" s="29"/>
      <c r="AB86" s="29"/>
      <c r="AC86" s="29"/>
      <c r="AD86" s="29"/>
      <c r="AE86" s="29"/>
      <c r="AF86" s="29"/>
      <c r="AG86" s="29"/>
      <c r="AH86" s="29"/>
      <c r="AI86" s="29"/>
      <c r="AJ86" s="29"/>
      <c r="AK86" s="29"/>
      <c r="AL86" s="29"/>
      <c r="AM86" s="29"/>
      <c r="AN86" s="29"/>
    </row>
    <row r="87" spans="1:46" x14ac:dyDescent="0.45">
      <c r="A87" s="29"/>
      <c r="B87" s="29"/>
      <c r="C87" s="29"/>
      <c r="D87" s="29"/>
      <c r="E87" s="29"/>
      <c r="F87" s="29"/>
      <c r="G87" s="29"/>
      <c r="H87" s="29"/>
      <c r="I87" s="29"/>
      <c r="J87" s="29"/>
      <c r="K87" s="29"/>
      <c r="L87" s="29"/>
      <c r="M87" s="29"/>
      <c r="N87" s="29"/>
      <c r="O87" s="29"/>
      <c r="P87" s="29"/>
      <c r="Q87" s="29"/>
      <c r="R87" s="29"/>
      <c r="S87" s="57" t="s">
        <v>348</v>
      </c>
      <c r="T87" s="57">
        <v>0.5</v>
      </c>
      <c r="U87" s="73" t="s">
        <v>44</v>
      </c>
      <c r="V87" s="29"/>
      <c r="W87" s="29"/>
      <c r="X87" s="29"/>
      <c r="Y87" s="29"/>
      <c r="Z87" s="29"/>
      <c r="AA87" s="29"/>
      <c r="AB87" s="29"/>
      <c r="AC87" s="29"/>
      <c r="AD87" s="29"/>
      <c r="AE87" s="29"/>
      <c r="AF87" s="29"/>
      <c r="AG87" s="29"/>
      <c r="AH87" s="29"/>
      <c r="AI87" s="29"/>
      <c r="AJ87" s="29"/>
      <c r="AK87" s="29"/>
      <c r="AL87" s="29"/>
      <c r="AM87" s="29"/>
      <c r="AN87" s="29"/>
    </row>
    <row r="89" spans="1:46" x14ac:dyDescent="0.45">
      <c r="A89" s="47" t="s">
        <v>169</v>
      </c>
      <c r="B89" s="2" t="s">
        <v>364</v>
      </c>
      <c r="C89" s="47" t="s">
        <v>168</v>
      </c>
      <c r="D89" s="2" t="s">
        <v>374</v>
      </c>
      <c r="E89" s="29"/>
      <c r="F89" s="29"/>
      <c r="G89" s="29"/>
      <c r="H89" s="29"/>
      <c r="I89" s="29"/>
      <c r="J89" s="29"/>
      <c r="K89" s="29"/>
      <c r="L89" s="29"/>
      <c r="M89" s="29"/>
      <c r="N89" s="29"/>
      <c r="O89" s="29"/>
      <c r="P89" s="29"/>
      <c r="AO89" t="s">
        <v>170</v>
      </c>
      <c r="AP89" t="s">
        <v>365</v>
      </c>
      <c r="AQ89" t="s">
        <v>169</v>
      </c>
      <c r="AR89" t="s">
        <v>364</v>
      </c>
      <c r="AS89" t="s">
        <v>168</v>
      </c>
      <c r="AT89" t="s">
        <v>374</v>
      </c>
    </row>
    <row r="90" spans="1:46" x14ac:dyDescent="0.45">
      <c r="A90" s="35" t="s">
        <v>0</v>
      </c>
      <c r="B90" s="36"/>
      <c r="C90" s="18"/>
      <c r="D90" s="18"/>
      <c r="E90" s="18"/>
      <c r="F90" s="18"/>
      <c r="G90" s="18"/>
      <c r="H90" s="18"/>
      <c r="I90" s="18"/>
      <c r="J90" s="18"/>
      <c r="K90" s="18"/>
      <c r="L90" s="18"/>
      <c r="M90" s="18"/>
      <c r="N90" s="18"/>
      <c r="O90" s="18"/>
      <c r="P90" s="18"/>
      <c r="Q90" s="47" t="s">
        <v>329</v>
      </c>
    </row>
    <row r="91" spans="1:46" x14ac:dyDescent="0.45">
      <c r="A91" s="20">
        <v>1</v>
      </c>
      <c r="B91" s="37" t="s">
        <v>136</v>
      </c>
      <c r="C91" s="37" t="s">
        <v>372</v>
      </c>
      <c r="D91" s="37" t="s">
        <v>373</v>
      </c>
      <c r="E91" s="37" t="s">
        <v>139</v>
      </c>
      <c r="F91" s="37" t="s">
        <v>138</v>
      </c>
      <c r="G91" s="37">
        <v>250</v>
      </c>
      <c r="H91" s="37">
        <f>G91*40</f>
        <v>10000</v>
      </c>
      <c r="I91" s="37">
        <v>0.5</v>
      </c>
      <c r="J91" s="37">
        <v>0.2</v>
      </c>
      <c r="K91" s="37"/>
      <c r="L91" s="37"/>
      <c r="M91" s="37"/>
      <c r="N91" s="37"/>
      <c r="O91" s="37"/>
      <c r="P91" s="37"/>
      <c r="Q91" s="37" t="s">
        <v>363</v>
      </c>
      <c r="S91" s="76" t="s">
        <v>40</v>
      </c>
      <c r="T91" s="3"/>
      <c r="U91" s="5"/>
    </row>
    <row r="92" spans="1:46" x14ac:dyDescent="0.45">
      <c r="A92" s="20">
        <v>2</v>
      </c>
      <c r="B92" s="20"/>
      <c r="C92" s="20"/>
      <c r="D92" s="20"/>
      <c r="E92" s="20"/>
      <c r="F92" s="20"/>
      <c r="G92" s="20"/>
      <c r="H92" s="20"/>
      <c r="I92" s="20"/>
      <c r="J92" s="20"/>
      <c r="K92" s="20"/>
      <c r="L92" s="20"/>
      <c r="M92" s="20"/>
      <c r="N92" s="20"/>
      <c r="O92" s="20"/>
      <c r="P92" s="20"/>
      <c r="Q92" s="20"/>
      <c r="S92" s="5" t="s">
        <v>122</v>
      </c>
      <c r="T92" s="5">
        <v>0.2</v>
      </c>
      <c r="U92" s="5" t="s">
        <v>44</v>
      </c>
    </row>
    <row r="93" spans="1:46" x14ac:dyDescent="0.45">
      <c r="A93" s="20">
        <v>3</v>
      </c>
      <c r="B93" s="20"/>
      <c r="C93" s="20"/>
      <c r="D93" s="20"/>
      <c r="E93" s="20"/>
      <c r="F93" s="20"/>
      <c r="G93" s="20"/>
      <c r="H93" s="20"/>
      <c r="I93" s="20"/>
      <c r="J93" s="20"/>
      <c r="K93" s="20"/>
      <c r="L93" s="20"/>
      <c r="M93" s="20"/>
      <c r="N93" s="20"/>
      <c r="O93" s="20"/>
      <c r="P93" s="20"/>
      <c r="Q93" s="20"/>
      <c r="S93" s="5" t="s">
        <v>95</v>
      </c>
      <c r="T93" s="5">
        <v>1</v>
      </c>
      <c r="U93" s="5" t="s">
        <v>97</v>
      </c>
    </row>
    <row r="94" spans="1:46" x14ac:dyDescent="0.45">
      <c r="A94" s="20">
        <v>4</v>
      </c>
      <c r="B94" s="20"/>
      <c r="C94" s="20"/>
      <c r="D94" s="20"/>
      <c r="E94" s="20"/>
      <c r="F94" s="20"/>
      <c r="G94" s="20"/>
      <c r="H94" s="20"/>
      <c r="I94" s="20"/>
      <c r="J94" s="20"/>
      <c r="K94" s="20"/>
      <c r="L94" s="20"/>
      <c r="M94" s="20"/>
      <c r="N94" s="20"/>
      <c r="O94" s="20"/>
      <c r="P94" s="20"/>
      <c r="Q94" s="20"/>
      <c r="S94" s="5" t="s">
        <v>96</v>
      </c>
      <c r="T94" s="5">
        <v>1</v>
      </c>
      <c r="U94" s="5" t="s">
        <v>97</v>
      </c>
    </row>
    <row r="95" spans="1:46" x14ac:dyDescent="0.45">
      <c r="A95" s="20">
        <v>5</v>
      </c>
      <c r="B95" s="20"/>
      <c r="C95" s="20"/>
      <c r="D95" s="20"/>
      <c r="E95" s="20"/>
      <c r="F95" s="20"/>
      <c r="G95" s="20"/>
      <c r="H95" s="20"/>
      <c r="I95" s="20"/>
      <c r="J95" s="20"/>
      <c r="K95" s="20"/>
      <c r="L95" s="20"/>
      <c r="M95" s="20"/>
      <c r="N95" s="20"/>
      <c r="O95" s="20"/>
      <c r="P95" s="20"/>
      <c r="Q95" s="20"/>
      <c r="S95" s="5" t="s">
        <v>233</v>
      </c>
      <c r="T95" s="5" t="s">
        <v>244</v>
      </c>
      <c r="U95" s="5"/>
    </row>
    <row r="96" spans="1:46" x14ac:dyDescent="0.45">
      <c r="A96" s="20">
        <v>6</v>
      </c>
      <c r="B96" s="20"/>
      <c r="C96" s="20"/>
      <c r="D96" s="20"/>
      <c r="E96" s="20"/>
      <c r="F96" s="20"/>
      <c r="G96" s="20"/>
      <c r="H96" s="20"/>
      <c r="I96" s="20"/>
      <c r="J96" s="20"/>
      <c r="K96" s="20"/>
      <c r="L96" s="20"/>
      <c r="M96" s="20"/>
      <c r="N96" s="20"/>
      <c r="O96" s="20"/>
      <c r="P96" s="20"/>
      <c r="Q96" s="20"/>
      <c r="S96" s="5" t="s">
        <v>234</v>
      </c>
      <c r="T96" s="5">
        <v>0</v>
      </c>
      <c r="U96" s="5"/>
    </row>
    <row r="97" spans="1:22" x14ac:dyDescent="0.45">
      <c r="A97" s="20">
        <v>7</v>
      </c>
      <c r="B97" s="20"/>
      <c r="C97" s="20"/>
      <c r="D97" s="20"/>
      <c r="E97" s="20"/>
      <c r="F97" s="20"/>
      <c r="G97" s="20"/>
      <c r="H97" s="20"/>
      <c r="I97" s="20"/>
      <c r="J97" s="20"/>
      <c r="K97" s="20"/>
      <c r="L97" s="20"/>
      <c r="M97" s="20"/>
      <c r="N97" s="20"/>
      <c r="O97" s="20"/>
      <c r="P97" s="20"/>
      <c r="Q97" s="20"/>
      <c r="S97" s="46"/>
      <c r="T97" s="46"/>
      <c r="U97" s="71"/>
    </row>
    <row r="98" spans="1:22" x14ac:dyDescent="0.45">
      <c r="A98" s="20">
        <v>8</v>
      </c>
      <c r="B98" s="20"/>
      <c r="C98" s="20"/>
      <c r="D98" s="20"/>
      <c r="E98" s="20"/>
      <c r="F98" s="20"/>
      <c r="G98" s="20"/>
      <c r="H98" s="20"/>
      <c r="I98" s="20"/>
      <c r="J98" s="20"/>
      <c r="K98" s="20"/>
      <c r="L98" s="20"/>
      <c r="M98" s="20"/>
      <c r="N98" s="20"/>
      <c r="O98" s="20"/>
      <c r="P98" s="20"/>
      <c r="Q98" s="20"/>
      <c r="S98" s="5" t="s">
        <v>378</v>
      </c>
      <c r="T98" s="5">
        <v>60</v>
      </c>
      <c r="U98" s="5" t="s">
        <v>43</v>
      </c>
      <c r="V98" s="1"/>
    </row>
    <row r="99" spans="1:22" x14ac:dyDescent="0.45">
      <c r="A99" s="20">
        <v>9</v>
      </c>
      <c r="B99" s="20"/>
      <c r="C99" s="20"/>
      <c r="D99" s="20"/>
      <c r="E99" s="20"/>
      <c r="F99" s="40"/>
      <c r="G99" s="20"/>
      <c r="H99" s="20"/>
      <c r="I99" s="20"/>
      <c r="J99" s="20"/>
      <c r="K99" s="20"/>
      <c r="L99" s="20"/>
      <c r="M99" s="20"/>
      <c r="N99" s="20"/>
      <c r="O99" s="20"/>
      <c r="P99" s="20"/>
      <c r="Q99" s="20"/>
      <c r="S99" s="5" t="s">
        <v>93</v>
      </c>
      <c r="T99" s="5">
        <v>1000</v>
      </c>
      <c r="U99" s="5" t="s">
        <v>45</v>
      </c>
    </row>
    <row r="100" spans="1:22" x14ac:dyDescent="0.45">
      <c r="A100" s="20">
        <v>10</v>
      </c>
      <c r="B100" s="20"/>
      <c r="C100" s="20"/>
      <c r="D100" s="20"/>
      <c r="E100" s="20"/>
      <c r="F100" s="40"/>
      <c r="G100" s="20"/>
      <c r="H100" s="20"/>
      <c r="I100" s="20"/>
      <c r="J100" s="20"/>
      <c r="K100" s="20"/>
      <c r="L100" s="20"/>
      <c r="M100" s="20"/>
      <c r="N100" s="20"/>
      <c r="O100" s="20"/>
      <c r="P100" s="20"/>
      <c r="Q100" s="20"/>
      <c r="S100" s="5" t="s">
        <v>94</v>
      </c>
      <c r="T100" s="5">
        <v>9000</v>
      </c>
      <c r="U100" s="5" t="s">
        <v>45</v>
      </c>
    </row>
    <row r="101" spans="1:22" x14ac:dyDescent="0.45">
      <c r="A101" s="20">
        <v>11</v>
      </c>
      <c r="B101" s="20"/>
      <c r="C101" s="20"/>
      <c r="D101" s="20"/>
      <c r="E101" s="20"/>
      <c r="F101" s="40"/>
      <c r="G101" s="20"/>
      <c r="H101" s="20"/>
      <c r="I101" s="20"/>
      <c r="J101" s="20"/>
      <c r="K101" s="20"/>
      <c r="L101" s="20"/>
      <c r="M101" s="20"/>
      <c r="N101" s="20"/>
      <c r="O101" s="20"/>
      <c r="P101" s="20"/>
      <c r="Q101" s="20"/>
      <c r="S101" s="5" t="s">
        <v>41</v>
      </c>
      <c r="T101" s="5">
        <v>210</v>
      </c>
      <c r="U101" s="5" t="s">
        <v>43</v>
      </c>
      <c r="V101" s="1"/>
    </row>
    <row r="102" spans="1:22" x14ac:dyDescent="0.4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45">
      <c r="A103" s="29"/>
      <c r="B103" s="29"/>
      <c r="C103" s="29"/>
      <c r="D103" s="29"/>
      <c r="E103" s="29"/>
      <c r="F103" s="29"/>
      <c r="G103" s="29"/>
      <c r="H103" s="29"/>
      <c r="I103" s="29"/>
      <c r="J103" s="29"/>
      <c r="K103" s="29"/>
      <c r="L103" s="29"/>
      <c r="M103" s="29"/>
      <c r="N103" s="29"/>
      <c r="O103" s="29"/>
      <c r="P103" s="29"/>
      <c r="Q103" s="29"/>
      <c r="S103" s="5" t="s">
        <v>46</v>
      </c>
      <c r="T103" s="5" t="s">
        <v>89</v>
      </c>
      <c r="U103" s="5" t="s">
        <v>98</v>
      </c>
    </row>
    <row r="104" spans="1:22" x14ac:dyDescent="0.45">
      <c r="A104" s="29"/>
      <c r="B104" s="29"/>
      <c r="C104" s="29"/>
      <c r="D104" s="29"/>
      <c r="E104" s="29"/>
      <c r="F104" s="29"/>
      <c r="G104" s="29"/>
      <c r="H104" s="29"/>
      <c r="I104" s="29"/>
      <c r="J104" s="29"/>
      <c r="K104" s="29"/>
      <c r="L104" s="29"/>
      <c r="M104" s="29"/>
      <c r="N104" s="29"/>
      <c r="O104" s="29"/>
      <c r="P104" s="29"/>
      <c r="Q104" s="29"/>
      <c r="S104" s="5" t="s">
        <v>132</v>
      </c>
      <c r="T104" s="5" t="s">
        <v>193</v>
      </c>
      <c r="U104" s="5"/>
    </row>
    <row r="105" spans="1:22" x14ac:dyDescent="0.45">
      <c r="A105" s="29"/>
      <c r="B105" s="29"/>
      <c r="C105" s="29"/>
      <c r="D105" s="29"/>
      <c r="E105" s="29"/>
      <c r="F105" s="29"/>
      <c r="G105" s="29"/>
      <c r="H105" s="29"/>
      <c r="I105" s="29"/>
      <c r="J105" s="29"/>
      <c r="K105" s="29"/>
      <c r="L105" s="29"/>
      <c r="M105" s="29"/>
      <c r="N105" s="29"/>
      <c r="O105" s="29"/>
      <c r="P105" s="29"/>
      <c r="Q105" s="29"/>
      <c r="S105" s="5" t="s">
        <v>192</v>
      </c>
      <c r="T105" s="5" t="s">
        <v>163</v>
      </c>
      <c r="U105" s="5"/>
    </row>
    <row r="106" spans="1:22" x14ac:dyDescent="0.45">
      <c r="A106" s="29"/>
      <c r="B106" s="29"/>
      <c r="C106" s="29"/>
      <c r="D106" s="29"/>
      <c r="E106" s="29"/>
      <c r="F106" s="29"/>
      <c r="G106" s="29"/>
      <c r="H106" s="29"/>
      <c r="I106" s="29"/>
      <c r="J106" s="29"/>
      <c r="K106" s="29"/>
      <c r="L106" s="29"/>
      <c r="M106" s="29"/>
      <c r="N106" s="29"/>
      <c r="O106" s="29"/>
      <c r="P106" s="29"/>
      <c r="Q106" s="29"/>
      <c r="S106" s="5" t="s">
        <v>207</v>
      </c>
      <c r="T106" s="5">
        <v>20</v>
      </c>
      <c r="U106" s="5" t="s">
        <v>44</v>
      </c>
    </row>
    <row r="107" spans="1:22" x14ac:dyDescent="0.45">
      <c r="A107" s="29"/>
      <c r="B107" s="29"/>
      <c r="C107" s="29"/>
      <c r="D107" s="29"/>
      <c r="E107" s="29"/>
      <c r="F107" s="29"/>
      <c r="G107" s="29"/>
      <c r="H107" s="29"/>
      <c r="I107" s="29"/>
      <c r="J107" s="29"/>
      <c r="K107" s="29"/>
      <c r="L107" s="29"/>
      <c r="M107" s="29"/>
      <c r="N107" s="29"/>
      <c r="O107" s="29"/>
      <c r="P107" s="29"/>
      <c r="Q107" s="29"/>
      <c r="S107" s="5" t="s">
        <v>208</v>
      </c>
      <c r="T107" s="5">
        <v>10</v>
      </c>
      <c r="U107" s="5" t="s">
        <v>44</v>
      </c>
    </row>
    <row r="108" spans="1:22" x14ac:dyDescent="0.45">
      <c r="A108" s="29"/>
      <c r="B108" s="29"/>
      <c r="C108" s="29"/>
      <c r="D108" s="29"/>
      <c r="E108" s="29"/>
      <c r="F108" s="29"/>
      <c r="G108" s="29"/>
      <c r="H108" s="29"/>
      <c r="I108" s="29"/>
      <c r="J108" s="29"/>
      <c r="K108" s="29"/>
      <c r="L108" s="29"/>
      <c r="M108" s="29"/>
      <c r="N108" s="29"/>
      <c r="O108" s="29"/>
      <c r="P108" s="29"/>
      <c r="Q108" s="29"/>
      <c r="S108" s="5" t="s">
        <v>209</v>
      </c>
      <c r="T108" s="5">
        <v>0.3</v>
      </c>
      <c r="U108" s="5" t="s">
        <v>44</v>
      </c>
    </row>
    <row r="109" spans="1:22" x14ac:dyDescent="0.45">
      <c r="A109" s="29"/>
      <c r="B109" s="29"/>
      <c r="C109" s="29"/>
      <c r="D109" s="29"/>
      <c r="E109" s="29"/>
      <c r="F109" s="29"/>
      <c r="G109" s="29"/>
      <c r="H109" s="29"/>
      <c r="I109" s="29"/>
      <c r="J109" s="29"/>
      <c r="K109" s="29"/>
      <c r="L109" s="29"/>
      <c r="M109" s="29"/>
      <c r="N109" s="29"/>
      <c r="O109" s="29"/>
      <c r="P109" s="29"/>
      <c r="Q109" s="29"/>
      <c r="S109" s="59" t="s">
        <v>379</v>
      </c>
      <c r="T109" s="5">
        <v>0</v>
      </c>
      <c r="U109" s="5"/>
      <c r="V109" s="1"/>
    </row>
    <row r="110" spans="1:22" x14ac:dyDescent="0.45">
      <c r="A110" s="29"/>
      <c r="B110" s="29"/>
      <c r="C110" s="29"/>
      <c r="D110" s="29"/>
      <c r="E110" s="29"/>
      <c r="F110" s="29"/>
      <c r="G110" s="29"/>
      <c r="H110" s="29"/>
      <c r="I110" s="29"/>
      <c r="J110" s="29"/>
      <c r="K110" s="29"/>
      <c r="L110" s="29"/>
      <c r="M110" s="29"/>
      <c r="N110" s="29"/>
      <c r="O110" s="29"/>
      <c r="P110" s="29"/>
      <c r="Q110" s="29"/>
      <c r="S110" s="5" t="s">
        <v>194</v>
      </c>
      <c r="T110" s="5" t="s">
        <v>206</v>
      </c>
      <c r="U110" s="5" t="s">
        <v>198</v>
      </c>
    </row>
    <row r="111" spans="1:22" x14ac:dyDescent="0.45">
      <c r="A111" s="29"/>
      <c r="B111" s="29"/>
      <c r="C111" s="29"/>
      <c r="D111" s="29"/>
      <c r="E111" s="29"/>
      <c r="F111" s="29"/>
      <c r="G111" s="29"/>
      <c r="H111" s="29"/>
      <c r="I111" s="29"/>
      <c r="J111" s="29"/>
      <c r="K111" s="29"/>
      <c r="L111" s="29"/>
      <c r="M111" s="29"/>
      <c r="N111" s="29"/>
      <c r="O111" s="29"/>
      <c r="P111" s="29"/>
      <c r="Q111" s="29"/>
      <c r="S111" s="5" t="s">
        <v>199</v>
      </c>
      <c r="T111" s="5">
        <v>5</v>
      </c>
      <c r="U111" s="5" t="s">
        <v>44</v>
      </c>
      <c r="V111" s="1"/>
    </row>
    <row r="112" spans="1:22" x14ac:dyDescent="0.45">
      <c r="A112" s="29"/>
      <c r="B112" s="29"/>
      <c r="C112" s="29"/>
      <c r="D112" s="29"/>
      <c r="E112" s="29"/>
      <c r="F112" s="29"/>
      <c r="G112" s="29"/>
      <c r="H112" s="29"/>
      <c r="I112" s="29"/>
      <c r="J112" s="29"/>
      <c r="K112" s="29"/>
      <c r="L112" s="29"/>
      <c r="M112" s="29"/>
      <c r="N112" s="29"/>
      <c r="O112" s="29"/>
      <c r="P112" s="29"/>
      <c r="Q112" s="29"/>
      <c r="S112" s="5" t="s">
        <v>200</v>
      </c>
      <c r="T112" s="5">
        <v>7</v>
      </c>
      <c r="U112" s="5" t="s">
        <v>98</v>
      </c>
    </row>
    <row r="113" spans="1:46" x14ac:dyDescent="0.45">
      <c r="A113" s="29"/>
      <c r="B113" s="29"/>
      <c r="C113" s="29"/>
      <c r="D113" s="29"/>
      <c r="E113" s="29"/>
      <c r="F113" s="29"/>
      <c r="G113" s="29"/>
      <c r="H113" s="29"/>
      <c r="I113" s="29"/>
      <c r="J113" s="29"/>
      <c r="K113" s="29"/>
      <c r="L113" s="29"/>
      <c r="M113" s="29"/>
      <c r="N113" s="29"/>
      <c r="O113" s="29"/>
      <c r="P113" s="29"/>
      <c r="Q113" s="29"/>
      <c r="S113" s="5" t="s">
        <v>201</v>
      </c>
      <c r="T113" s="5">
        <v>2500</v>
      </c>
      <c r="U113" s="5" t="s">
        <v>45</v>
      </c>
    </row>
    <row r="114" spans="1:46" x14ac:dyDescent="0.45">
      <c r="A114" s="29"/>
      <c r="B114" s="29"/>
      <c r="C114" s="29"/>
      <c r="D114" s="29"/>
      <c r="E114" s="29"/>
      <c r="F114" s="29"/>
      <c r="G114" s="29"/>
      <c r="H114" s="29"/>
      <c r="I114" s="29"/>
      <c r="J114" s="29"/>
      <c r="K114" s="29"/>
      <c r="L114" s="29"/>
      <c r="M114" s="29"/>
      <c r="N114" s="29"/>
      <c r="O114" s="29"/>
      <c r="P114" s="29"/>
      <c r="Q114" s="29"/>
      <c r="S114" s="5" t="s">
        <v>202</v>
      </c>
      <c r="T114" s="5">
        <f>-T112</f>
        <v>-7</v>
      </c>
      <c r="U114" s="5" t="s">
        <v>98</v>
      </c>
    </row>
    <row r="115" spans="1:46" x14ac:dyDescent="0.45">
      <c r="A115" s="29"/>
      <c r="B115" s="29"/>
      <c r="C115" s="29"/>
      <c r="D115" s="29"/>
      <c r="E115" s="29"/>
      <c r="F115" s="29"/>
      <c r="G115" s="29"/>
      <c r="H115" s="29"/>
      <c r="I115" s="29"/>
      <c r="J115" s="29"/>
      <c r="K115" s="29"/>
      <c r="L115" s="29"/>
      <c r="M115" s="29"/>
      <c r="N115" s="29"/>
      <c r="O115" s="29"/>
      <c r="P115" s="29"/>
      <c r="Q115" s="29"/>
      <c r="S115" s="3" t="s">
        <v>203</v>
      </c>
      <c r="T115" s="3">
        <f>T113</f>
        <v>2500</v>
      </c>
      <c r="U115" s="5" t="s">
        <v>45</v>
      </c>
    </row>
    <row r="116" spans="1:46" x14ac:dyDescent="0.45">
      <c r="A116" s="29"/>
      <c r="B116" s="29"/>
      <c r="C116" s="29"/>
      <c r="D116" s="29"/>
      <c r="E116" s="29"/>
      <c r="F116" s="29"/>
      <c r="G116" s="29"/>
      <c r="H116" s="29"/>
      <c r="I116" s="29"/>
      <c r="J116" s="29"/>
      <c r="K116" s="29"/>
      <c r="L116" s="29"/>
      <c r="M116" s="29"/>
      <c r="N116" s="29"/>
      <c r="O116" s="29"/>
      <c r="P116" s="29"/>
      <c r="Q116" s="29"/>
      <c r="S116" s="3" t="s">
        <v>204</v>
      </c>
      <c r="T116" s="3">
        <v>0.2</v>
      </c>
      <c r="U116" s="5" t="s">
        <v>44</v>
      </c>
    </row>
    <row r="117" spans="1:46" x14ac:dyDescent="0.45">
      <c r="A117" s="29"/>
      <c r="B117" s="29"/>
      <c r="C117" s="29"/>
      <c r="D117" s="29"/>
      <c r="E117" s="29"/>
      <c r="F117" s="29"/>
      <c r="G117" s="29"/>
      <c r="H117" s="29"/>
      <c r="I117" s="29"/>
      <c r="J117" s="29"/>
      <c r="K117" s="29"/>
      <c r="L117" s="29"/>
      <c r="M117" s="29"/>
      <c r="N117" s="29"/>
      <c r="O117" s="29"/>
      <c r="P117" s="29"/>
      <c r="Q117" s="29"/>
      <c r="S117" s="3" t="s">
        <v>205</v>
      </c>
      <c r="T117" s="3">
        <v>7500</v>
      </c>
      <c r="U117" s="5" t="s">
        <v>45</v>
      </c>
    </row>
    <row r="118" spans="1:46" x14ac:dyDescent="0.45">
      <c r="A118" s="29"/>
      <c r="B118" s="29"/>
      <c r="C118" s="29"/>
      <c r="D118" s="29"/>
      <c r="E118" s="29"/>
      <c r="F118" s="29"/>
      <c r="G118" s="29"/>
      <c r="H118" s="29"/>
      <c r="I118" s="29"/>
      <c r="J118" s="29"/>
      <c r="K118" s="29"/>
      <c r="L118" s="29"/>
      <c r="M118" s="29"/>
      <c r="N118" s="29"/>
      <c r="O118" s="29"/>
      <c r="P118" s="29"/>
      <c r="Q118" s="29"/>
      <c r="S118" s="29"/>
      <c r="T118" s="29"/>
      <c r="U118" s="72"/>
      <c r="V118" s="29"/>
      <c r="W118" s="29"/>
      <c r="X118" s="29"/>
      <c r="Y118" s="29"/>
      <c r="Z118" s="29"/>
      <c r="AA118" s="29"/>
      <c r="AB118" s="29"/>
      <c r="AC118" s="29"/>
      <c r="AE118" s="29"/>
      <c r="AF118" s="29"/>
    </row>
    <row r="119" spans="1:46" x14ac:dyDescent="0.45">
      <c r="A119" s="29"/>
      <c r="B119" s="29"/>
      <c r="C119" s="29"/>
      <c r="D119" s="29"/>
      <c r="E119" s="29"/>
      <c r="F119" s="29"/>
      <c r="G119" s="29"/>
      <c r="H119" s="29"/>
      <c r="I119" s="29"/>
      <c r="J119" s="29"/>
      <c r="K119" s="29"/>
      <c r="L119" s="29"/>
      <c r="M119" s="29"/>
      <c r="N119" s="29"/>
      <c r="O119" s="29"/>
      <c r="P119" s="29"/>
      <c r="Q119" s="29"/>
      <c r="S119" s="77" t="s">
        <v>332</v>
      </c>
      <c r="T119" s="77" t="s">
        <v>333</v>
      </c>
      <c r="U119" s="78" t="s">
        <v>371</v>
      </c>
      <c r="V119" s="29"/>
      <c r="W119" s="29"/>
      <c r="X119" s="29"/>
      <c r="Y119" s="29"/>
      <c r="Z119" s="29"/>
      <c r="AA119" s="29"/>
      <c r="AB119" s="29"/>
      <c r="AC119" s="29"/>
      <c r="AD119" s="29"/>
      <c r="AE119" s="29"/>
      <c r="AF119" s="29"/>
    </row>
    <row r="120" spans="1:46" x14ac:dyDescent="0.45">
      <c r="A120" s="29"/>
      <c r="B120" s="29"/>
      <c r="C120" s="29"/>
      <c r="D120" s="29"/>
      <c r="E120" s="29"/>
      <c r="F120" s="29"/>
      <c r="G120" s="29"/>
      <c r="H120" s="29"/>
      <c r="I120" s="29"/>
      <c r="J120" s="29"/>
      <c r="K120" s="29"/>
      <c r="L120" s="29"/>
      <c r="M120" s="29"/>
      <c r="N120" s="29"/>
      <c r="O120" s="29"/>
      <c r="P120" s="29"/>
      <c r="Q120" s="29"/>
      <c r="S120" s="57"/>
      <c r="T120" s="57"/>
      <c r="U120" s="73"/>
      <c r="V120" s="29"/>
      <c r="W120" s="29"/>
      <c r="X120" s="29"/>
      <c r="Y120" s="29"/>
      <c r="Z120" s="29"/>
      <c r="AA120" s="29"/>
      <c r="AB120" s="29"/>
      <c r="AC120" s="29"/>
      <c r="AD120" s="29"/>
      <c r="AE120" s="29"/>
      <c r="AF120" s="29"/>
    </row>
    <row r="121" spans="1:46" x14ac:dyDescent="0.45">
      <c r="A121" s="29"/>
      <c r="B121" s="29"/>
      <c r="C121" s="29"/>
      <c r="D121" s="29"/>
      <c r="E121" s="29"/>
      <c r="F121" s="29"/>
      <c r="G121" s="29"/>
      <c r="H121" s="29"/>
      <c r="I121" s="29"/>
      <c r="J121" s="29"/>
      <c r="K121" s="29"/>
      <c r="L121" s="29"/>
      <c r="M121" s="29"/>
      <c r="N121" s="29"/>
      <c r="O121" s="29"/>
      <c r="P121" s="29"/>
      <c r="Q121" s="29"/>
      <c r="S121" s="57" t="s">
        <v>14</v>
      </c>
      <c r="T121" s="57">
        <v>12</v>
      </c>
      <c r="U121" s="73" t="s">
        <v>44</v>
      </c>
      <c r="V121" s="29"/>
      <c r="W121" s="29"/>
      <c r="X121" s="29"/>
      <c r="Y121" s="29"/>
      <c r="Z121" s="29"/>
      <c r="AA121" s="29"/>
      <c r="AB121" s="29"/>
      <c r="AC121" s="29"/>
      <c r="AD121" s="29"/>
      <c r="AE121" s="29"/>
      <c r="AF121" s="29"/>
    </row>
    <row r="122" spans="1:46" x14ac:dyDescent="0.45">
      <c r="A122" s="29"/>
      <c r="B122" s="29"/>
      <c r="C122" s="29"/>
      <c r="D122" s="29"/>
      <c r="E122" s="29"/>
      <c r="F122" s="29"/>
      <c r="G122" s="29"/>
      <c r="H122" s="29"/>
      <c r="I122" s="29"/>
      <c r="J122" s="29"/>
      <c r="K122" s="29"/>
      <c r="L122" s="29"/>
      <c r="M122" s="29"/>
      <c r="N122" s="29"/>
      <c r="O122" s="29"/>
      <c r="P122" s="29"/>
      <c r="Q122" s="29"/>
      <c r="S122" s="57" t="s">
        <v>370</v>
      </c>
      <c r="T122" s="57">
        <v>2</v>
      </c>
      <c r="U122" s="73" t="s">
        <v>44</v>
      </c>
      <c r="V122" s="29"/>
      <c r="W122" s="29"/>
      <c r="X122" s="29"/>
      <c r="Y122" s="29"/>
      <c r="Z122" s="29"/>
      <c r="AA122" s="29"/>
      <c r="AB122" s="29"/>
      <c r="AC122" s="29"/>
      <c r="AD122" s="29"/>
      <c r="AE122" s="29"/>
      <c r="AF122" s="29"/>
    </row>
    <row r="123" spans="1:46" x14ac:dyDescent="0.45">
      <c r="A123" s="29"/>
      <c r="B123" s="29"/>
      <c r="C123" s="29"/>
      <c r="D123" s="29"/>
      <c r="E123" s="29"/>
      <c r="F123" s="29"/>
      <c r="G123" s="29"/>
      <c r="H123" s="29"/>
      <c r="I123" s="29"/>
      <c r="J123" s="29"/>
      <c r="K123" s="29"/>
      <c r="L123" s="29"/>
      <c r="M123" s="29"/>
      <c r="N123" s="29"/>
      <c r="O123" s="29"/>
      <c r="P123" s="29"/>
      <c r="Q123" s="29"/>
      <c r="R123" s="29"/>
      <c r="S123" s="57"/>
      <c r="T123" s="57"/>
      <c r="U123" s="73"/>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45">
      <c r="A124" s="29"/>
      <c r="B124" s="29"/>
      <c r="C124" s="29"/>
      <c r="D124" s="29"/>
      <c r="E124" s="29"/>
      <c r="F124" s="29"/>
      <c r="G124" s="29"/>
      <c r="H124" s="29"/>
      <c r="I124" s="29"/>
      <c r="J124" s="29"/>
      <c r="K124" s="29"/>
      <c r="L124" s="29"/>
      <c r="M124" s="29"/>
      <c r="N124" s="29"/>
      <c r="O124" s="29"/>
      <c r="P124" s="29"/>
      <c r="Q124" s="29"/>
      <c r="R124" s="29"/>
      <c r="S124" s="29"/>
      <c r="T124" s="29"/>
      <c r="U124" s="72"/>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45">
      <c r="A125" s="47" t="s">
        <v>169</v>
      </c>
      <c r="B125" s="2" t="s">
        <v>339</v>
      </c>
      <c r="C125" s="47" t="s">
        <v>168</v>
      </c>
      <c r="D125" s="2" t="s">
        <v>374</v>
      </c>
      <c r="E125" s="29"/>
      <c r="F125" s="29"/>
      <c r="G125" s="29"/>
      <c r="H125" s="29"/>
      <c r="I125" s="29"/>
      <c r="J125" s="29"/>
      <c r="K125" s="29"/>
      <c r="L125" s="29"/>
      <c r="M125" s="29"/>
      <c r="N125" s="29"/>
      <c r="O125" s="29"/>
      <c r="P125" s="29"/>
      <c r="AO125" t="s">
        <v>170</v>
      </c>
      <c r="AP125" t="s">
        <v>340</v>
      </c>
      <c r="AQ125" t="s">
        <v>169</v>
      </c>
      <c r="AR125" t="s">
        <v>339</v>
      </c>
      <c r="AS125" t="s">
        <v>168</v>
      </c>
      <c r="AT125" t="s">
        <v>374</v>
      </c>
    </row>
    <row r="126" spans="1:46" x14ac:dyDescent="0.45">
      <c r="A126" s="35" t="s">
        <v>0</v>
      </c>
      <c r="B126" s="36"/>
      <c r="C126" s="18"/>
      <c r="D126" s="18"/>
      <c r="E126" s="18"/>
      <c r="F126" s="18"/>
      <c r="G126" s="18"/>
      <c r="H126" s="18"/>
      <c r="I126" s="18"/>
      <c r="J126" s="18"/>
      <c r="K126" s="18"/>
      <c r="L126" s="18"/>
      <c r="M126" s="18"/>
      <c r="N126" s="18"/>
      <c r="O126" s="18"/>
      <c r="P126" s="18"/>
      <c r="Q126" s="47" t="s">
        <v>329</v>
      </c>
    </row>
    <row r="127" spans="1:46" x14ac:dyDescent="0.45">
      <c r="A127" s="20">
        <v>1</v>
      </c>
      <c r="B127" s="38" t="s">
        <v>72</v>
      </c>
      <c r="C127" s="38">
        <v>50</v>
      </c>
      <c r="D127" s="38">
        <v>50</v>
      </c>
      <c r="E127" s="38">
        <v>0</v>
      </c>
      <c r="F127" s="38">
        <v>10</v>
      </c>
      <c r="G127" s="38">
        <v>180</v>
      </c>
      <c r="H127" s="38" t="s">
        <v>20</v>
      </c>
      <c r="I127" s="38" t="e">
        <f>Sides</f>
        <v>#NAME?</v>
      </c>
      <c r="J127" s="38">
        <v>0.6</v>
      </c>
      <c r="K127" s="38">
        <v>0.2</v>
      </c>
      <c r="L127" s="38"/>
      <c r="M127" s="38"/>
      <c r="N127" s="38"/>
      <c r="O127" s="38"/>
      <c r="P127" s="38"/>
      <c r="Q127" s="38" t="s">
        <v>336</v>
      </c>
      <c r="S127" s="76" t="s">
        <v>40</v>
      </c>
      <c r="T127" s="3"/>
      <c r="U127" s="5"/>
    </row>
    <row r="128" spans="1:46" x14ac:dyDescent="0.45">
      <c r="A128" s="20">
        <v>2</v>
      </c>
      <c r="B128" s="27" t="s">
        <v>56</v>
      </c>
      <c r="C128" s="27">
        <v>1</v>
      </c>
      <c r="D128" s="27">
        <v>0</v>
      </c>
      <c r="E128" s="27">
        <v>0</v>
      </c>
      <c r="F128" s="27">
        <v>0.2</v>
      </c>
      <c r="G128" s="27" t="e">
        <f>Layers</f>
        <v>#NAME?</v>
      </c>
      <c r="H128" s="27"/>
      <c r="I128" s="27"/>
      <c r="J128" s="27"/>
      <c r="K128" s="27"/>
      <c r="L128" s="27"/>
      <c r="M128" s="27"/>
      <c r="N128" s="27"/>
      <c r="O128" s="27"/>
      <c r="P128" s="27"/>
      <c r="Q128" s="27" t="s">
        <v>337</v>
      </c>
      <c r="S128" s="5" t="s">
        <v>122</v>
      </c>
      <c r="T128" s="5">
        <v>0.2</v>
      </c>
      <c r="U128" s="5" t="s">
        <v>44</v>
      </c>
    </row>
    <row r="129" spans="1:22" x14ac:dyDescent="0.45">
      <c r="A129" s="20">
        <v>3</v>
      </c>
      <c r="B129" s="92" t="s">
        <v>331</v>
      </c>
      <c r="C129" s="37">
        <v>2</v>
      </c>
      <c r="D129" s="37">
        <v>1</v>
      </c>
      <c r="E129" s="37">
        <v>1</v>
      </c>
      <c r="F129" s="37" t="e">
        <f>Layers</f>
        <v>#NAME?</v>
      </c>
      <c r="G129" s="37" t="s">
        <v>178</v>
      </c>
      <c r="H129" s="37">
        <v>0</v>
      </c>
      <c r="I129" s="41" t="s">
        <v>138</v>
      </c>
      <c r="J129" s="41" t="s">
        <v>180</v>
      </c>
      <c r="K129" s="37" t="s">
        <v>143</v>
      </c>
      <c r="L129" s="37" t="s">
        <v>143</v>
      </c>
      <c r="M129" s="37"/>
      <c r="N129" s="37"/>
      <c r="O129" s="37"/>
      <c r="P129" s="37"/>
      <c r="Q129" s="4" t="s">
        <v>341</v>
      </c>
      <c r="S129" s="5" t="s">
        <v>95</v>
      </c>
      <c r="T129" s="5">
        <v>1</v>
      </c>
      <c r="U129" s="5" t="s">
        <v>97</v>
      </c>
    </row>
    <row r="130" spans="1:22" x14ac:dyDescent="0.45">
      <c r="A130" s="20">
        <v>4</v>
      </c>
      <c r="B130" s="37" t="s">
        <v>286</v>
      </c>
      <c r="C130" s="37" t="s">
        <v>22</v>
      </c>
      <c r="D130" s="37" t="s">
        <v>210</v>
      </c>
      <c r="E130" s="37">
        <f>C127</f>
        <v>50</v>
      </c>
      <c r="F130" s="37">
        <f>D127</f>
        <v>50</v>
      </c>
      <c r="G130" s="37">
        <v>0</v>
      </c>
      <c r="H130" s="37">
        <v>0</v>
      </c>
      <c r="I130" s="37" t="s">
        <v>301</v>
      </c>
      <c r="J130" s="37" t="s">
        <v>143</v>
      </c>
      <c r="K130" s="37" t="s">
        <v>143</v>
      </c>
      <c r="L130" s="37"/>
      <c r="M130" s="37"/>
      <c r="N130" s="37"/>
      <c r="O130" s="37"/>
      <c r="P130" s="37"/>
      <c r="Q130" s="4" t="s">
        <v>341</v>
      </c>
      <c r="S130" s="5" t="s">
        <v>96</v>
      </c>
      <c r="T130" s="5">
        <v>1</v>
      </c>
      <c r="U130" s="5" t="s">
        <v>97</v>
      </c>
    </row>
    <row r="131" spans="1:22" x14ac:dyDescent="0.45">
      <c r="A131" s="20">
        <v>5</v>
      </c>
      <c r="B131" s="20"/>
      <c r="C131" s="20"/>
      <c r="D131" s="20"/>
      <c r="E131" s="20"/>
      <c r="F131" s="20"/>
      <c r="G131" s="20"/>
      <c r="H131" s="20"/>
      <c r="I131" s="20"/>
      <c r="J131" s="20"/>
      <c r="K131" s="20"/>
      <c r="L131" s="20"/>
      <c r="M131" s="20"/>
      <c r="N131" s="20"/>
      <c r="O131" s="20"/>
      <c r="P131" s="20"/>
      <c r="Q131" s="20"/>
      <c r="S131" s="5" t="s">
        <v>233</v>
      </c>
      <c r="T131" s="5" t="s">
        <v>244</v>
      </c>
      <c r="U131" s="5"/>
    </row>
    <row r="132" spans="1:22" x14ac:dyDescent="0.45">
      <c r="A132" s="20">
        <v>6</v>
      </c>
      <c r="B132" s="20"/>
      <c r="C132" s="21" t="s">
        <v>375</v>
      </c>
      <c r="D132" s="21"/>
      <c r="E132" s="21"/>
      <c r="F132" s="21"/>
      <c r="G132" s="21"/>
      <c r="H132" s="21"/>
      <c r="I132" s="21"/>
      <c r="J132" s="20"/>
      <c r="K132" s="20"/>
      <c r="L132" s="20"/>
      <c r="M132" s="20"/>
      <c r="N132" s="20"/>
      <c r="O132" s="20"/>
      <c r="P132" s="20"/>
      <c r="Q132" s="20"/>
      <c r="S132" s="5" t="s">
        <v>234</v>
      </c>
      <c r="T132" s="5">
        <v>0</v>
      </c>
      <c r="U132" s="5"/>
    </row>
    <row r="133" spans="1:22" x14ac:dyDescent="0.45">
      <c r="A133" s="20">
        <v>7</v>
      </c>
      <c r="B133" s="20"/>
      <c r="C133" s="20"/>
      <c r="D133" s="20"/>
      <c r="E133" s="20"/>
      <c r="F133" s="20"/>
      <c r="G133" s="20"/>
      <c r="H133" s="20"/>
      <c r="I133" s="20"/>
      <c r="J133" s="20"/>
      <c r="K133" s="20"/>
      <c r="L133" s="20"/>
      <c r="M133" s="20"/>
      <c r="N133" s="20"/>
      <c r="O133" s="20"/>
      <c r="P133" s="20"/>
      <c r="Q133" s="20"/>
      <c r="S133" s="46"/>
      <c r="T133" s="46"/>
      <c r="U133" s="71"/>
    </row>
    <row r="134" spans="1:22" x14ac:dyDescent="0.45">
      <c r="A134" s="20">
        <v>8</v>
      </c>
      <c r="B134" s="20"/>
      <c r="C134" s="20"/>
      <c r="D134" s="20"/>
      <c r="E134" s="20"/>
      <c r="F134" s="20"/>
      <c r="G134" s="20"/>
      <c r="H134" s="20"/>
      <c r="I134" s="20"/>
      <c r="J134" s="20"/>
      <c r="K134" s="20"/>
      <c r="L134" s="20"/>
      <c r="M134" s="20"/>
      <c r="N134" s="20"/>
      <c r="O134" s="20"/>
      <c r="P134" s="20"/>
      <c r="Q134" s="20"/>
      <c r="S134" s="5" t="s">
        <v>378</v>
      </c>
      <c r="T134" s="5">
        <v>60</v>
      </c>
      <c r="U134" s="5" t="s">
        <v>43</v>
      </c>
      <c r="V134" s="1"/>
    </row>
    <row r="135" spans="1:22" x14ac:dyDescent="0.45">
      <c r="A135" s="20">
        <v>9</v>
      </c>
      <c r="B135" s="20"/>
      <c r="C135" s="20"/>
      <c r="D135" s="20"/>
      <c r="E135" s="20"/>
      <c r="F135" s="20"/>
      <c r="G135" s="20"/>
      <c r="H135" s="20"/>
      <c r="I135" s="20"/>
      <c r="J135" s="20"/>
      <c r="K135" s="20"/>
      <c r="L135" s="20"/>
      <c r="M135" s="20"/>
      <c r="N135" s="20"/>
      <c r="O135" s="20"/>
      <c r="P135" s="20"/>
      <c r="Q135" s="20"/>
      <c r="S135" s="5" t="s">
        <v>93</v>
      </c>
      <c r="T135" s="5">
        <v>1000</v>
      </c>
      <c r="U135" s="5" t="s">
        <v>45</v>
      </c>
    </row>
    <row r="136" spans="1:22" x14ac:dyDescent="0.45">
      <c r="A136" s="20">
        <v>10</v>
      </c>
      <c r="B136" s="20"/>
      <c r="C136" s="20"/>
      <c r="D136" s="20"/>
      <c r="E136" s="20"/>
      <c r="F136" s="20"/>
      <c r="G136" s="20"/>
      <c r="H136" s="20"/>
      <c r="I136" s="20"/>
      <c r="J136" s="20"/>
      <c r="K136" s="20"/>
      <c r="L136" s="20"/>
      <c r="M136" s="20"/>
      <c r="N136" s="20"/>
      <c r="O136" s="20"/>
      <c r="P136" s="20"/>
      <c r="Q136" s="20"/>
      <c r="S136" s="5" t="s">
        <v>94</v>
      </c>
      <c r="T136" s="5">
        <v>9000</v>
      </c>
      <c r="U136" s="5" t="s">
        <v>45</v>
      </c>
    </row>
    <row r="137" spans="1:22" x14ac:dyDescent="0.4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4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45">
      <c r="A139" s="29"/>
      <c r="B139" s="29"/>
      <c r="C139" s="29"/>
      <c r="D139" s="29"/>
      <c r="E139" s="29"/>
      <c r="F139" s="29"/>
      <c r="G139" s="29"/>
      <c r="H139" s="29"/>
      <c r="I139" s="29"/>
      <c r="J139" s="29"/>
      <c r="K139" s="29"/>
      <c r="L139" s="29"/>
      <c r="M139" s="29"/>
      <c r="N139" s="29"/>
      <c r="O139" s="29"/>
      <c r="P139" s="29"/>
      <c r="Q139" s="29"/>
      <c r="S139" s="5" t="s">
        <v>46</v>
      </c>
      <c r="T139" s="5" t="s">
        <v>89</v>
      </c>
      <c r="U139" s="5" t="s">
        <v>98</v>
      </c>
    </row>
    <row r="140" spans="1:22" x14ac:dyDescent="0.45">
      <c r="A140" s="29"/>
      <c r="B140" s="29"/>
      <c r="C140" s="29"/>
      <c r="D140" s="29"/>
      <c r="E140" s="29"/>
      <c r="F140" s="29"/>
      <c r="G140" s="29"/>
      <c r="H140" s="29"/>
      <c r="I140" s="29"/>
      <c r="J140" s="29"/>
      <c r="K140" s="29"/>
      <c r="L140" s="29"/>
      <c r="M140" s="29"/>
      <c r="N140" s="29"/>
      <c r="O140" s="29"/>
      <c r="P140" s="29"/>
      <c r="Q140" s="29"/>
      <c r="S140" s="5" t="s">
        <v>132</v>
      </c>
      <c r="T140" s="5" t="s">
        <v>193</v>
      </c>
      <c r="U140" s="5"/>
    </row>
    <row r="141" spans="1:22" x14ac:dyDescent="0.45">
      <c r="A141" s="29"/>
      <c r="B141" s="29"/>
      <c r="C141" s="29"/>
      <c r="D141" s="29"/>
      <c r="E141" s="29"/>
      <c r="F141" s="29"/>
      <c r="G141" s="29"/>
      <c r="H141" s="29"/>
      <c r="I141" s="29"/>
      <c r="J141" s="29"/>
      <c r="K141" s="29"/>
      <c r="L141" s="29"/>
      <c r="M141" s="29"/>
      <c r="N141" s="29"/>
      <c r="O141" s="29"/>
      <c r="P141" s="29"/>
      <c r="Q141" s="29"/>
      <c r="S141" s="5" t="s">
        <v>192</v>
      </c>
      <c r="T141" s="5" t="s">
        <v>163</v>
      </c>
      <c r="U141" s="5"/>
    </row>
    <row r="142" spans="1:22" x14ac:dyDescent="0.45">
      <c r="A142" s="29"/>
      <c r="B142" s="29"/>
      <c r="C142" s="29"/>
      <c r="D142" s="29"/>
      <c r="E142" s="29"/>
      <c r="F142" s="29"/>
      <c r="G142" s="29"/>
      <c r="H142" s="29"/>
      <c r="I142" s="29"/>
      <c r="J142" s="29"/>
      <c r="K142" s="29"/>
      <c r="L142" s="29"/>
      <c r="M142" s="29"/>
      <c r="N142" s="29"/>
      <c r="O142" s="29"/>
      <c r="P142" s="29"/>
      <c r="Q142" s="29"/>
      <c r="S142" s="5" t="s">
        <v>207</v>
      </c>
      <c r="T142" s="5">
        <v>20</v>
      </c>
      <c r="U142" s="5" t="s">
        <v>44</v>
      </c>
    </row>
    <row r="143" spans="1:22" x14ac:dyDescent="0.45">
      <c r="A143" s="29"/>
      <c r="B143" s="29"/>
      <c r="C143" s="29"/>
      <c r="D143" s="29"/>
      <c r="E143" s="29"/>
      <c r="F143" s="29"/>
      <c r="G143" s="29"/>
      <c r="H143" s="29"/>
      <c r="I143" s="29"/>
      <c r="J143" s="29"/>
      <c r="K143" s="29"/>
      <c r="L143" s="29"/>
      <c r="M143" s="29"/>
      <c r="N143" s="29"/>
      <c r="O143" s="29"/>
      <c r="P143" s="29"/>
      <c r="Q143" s="29"/>
      <c r="S143" s="5" t="s">
        <v>208</v>
      </c>
      <c r="T143" s="5">
        <v>10</v>
      </c>
      <c r="U143" s="5" t="s">
        <v>44</v>
      </c>
    </row>
    <row r="144" spans="1:22" x14ac:dyDescent="0.45">
      <c r="A144" s="29"/>
      <c r="B144" s="29"/>
      <c r="C144" s="29"/>
      <c r="D144" s="29"/>
      <c r="E144" s="29"/>
      <c r="F144" s="29"/>
      <c r="G144" s="29"/>
      <c r="H144" s="29"/>
      <c r="I144" s="29"/>
      <c r="J144" s="29"/>
      <c r="K144" s="29"/>
      <c r="L144" s="29"/>
      <c r="M144" s="29"/>
      <c r="N144" s="29"/>
      <c r="O144" s="29"/>
      <c r="P144" s="29"/>
      <c r="Q144" s="29"/>
      <c r="S144" s="5" t="s">
        <v>209</v>
      </c>
      <c r="T144" s="5">
        <v>0.3</v>
      </c>
      <c r="U144" s="5" t="s">
        <v>44</v>
      </c>
    </row>
    <row r="145" spans="1:46" x14ac:dyDescent="0.45">
      <c r="A145" s="29"/>
      <c r="B145" s="29"/>
      <c r="C145" s="29"/>
      <c r="D145" s="29"/>
      <c r="E145" s="29"/>
      <c r="F145" s="29"/>
      <c r="G145" s="29"/>
      <c r="H145" s="29"/>
      <c r="I145" s="29"/>
      <c r="J145" s="29"/>
      <c r="K145" s="29"/>
      <c r="L145" s="29"/>
      <c r="M145" s="29"/>
      <c r="N145" s="29"/>
      <c r="O145" s="29"/>
      <c r="P145" s="29"/>
      <c r="Q145" s="29"/>
      <c r="S145" s="59" t="s">
        <v>379</v>
      </c>
      <c r="T145" s="5">
        <v>0</v>
      </c>
      <c r="U145" s="5"/>
      <c r="V145" s="1"/>
    </row>
    <row r="146" spans="1:46" x14ac:dyDescent="0.45">
      <c r="A146" s="29"/>
      <c r="B146" s="29"/>
      <c r="C146" s="29"/>
      <c r="D146" s="29"/>
      <c r="E146" s="29"/>
      <c r="F146" s="29"/>
      <c r="G146" s="29"/>
      <c r="H146" s="29"/>
      <c r="I146" s="29"/>
      <c r="J146" s="29"/>
      <c r="K146" s="29"/>
      <c r="L146" s="29"/>
      <c r="M146" s="29"/>
      <c r="N146" s="29"/>
      <c r="O146" s="29"/>
      <c r="P146" s="29"/>
      <c r="Q146" s="29"/>
      <c r="S146" s="5" t="s">
        <v>194</v>
      </c>
      <c r="T146" s="5" t="s">
        <v>206</v>
      </c>
      <c r="U146" s="5" t="s">
        <v>198</v>
      </c>
    </row>
    <row r="147" spans="1:46" x14ac:dyDescent="0.45">
      <c r="A147" s="29"/>
      <c r="B147" s="29"/>
      <c r="C147" s="29"/>
      <c r="D147" s="29"/>
      <c r="E147" s="29"/>
      <c r="F147" s="29"/>
      <c r="G147" s="29"/>
      <c r="H147" s="29"/>
      <c r="I147" s="29"/>
      <c r="J147" s="29"/>
      <c r="K147" s="29"/>
      <c r="L147" s="29"/>
      <c r="M147" s="29"/>
      <c r="N147" s="29"/>
      <c r="O147" s="29"/>
      <c r="P147" s="29"/>
      <c r="Q147" s="29"/>
      <c r="S147" s="5" t="s">
        <v>199</v>
      </c>
      <c r="T147" s="5">
        <v>5</v>
      </c>
      <c r="U147" s="5" t="s">
        <v>44</v>
      </c>
      <c r="V147" s="1"/>
    </row>
    <row r="148" spans="1:46" x14ac:dyDescent="0.45">
      <c r="A148" s="29"/>
      <c r="B148" s="29"/>
      <c r="C148" s="29"/>
      <c r="D148" s="29"/>
      <c r="E148" s="29"/>
      <c r="F148" s="29"/>
      <c r="G148" s="29"/>
      <c r="H148" s="29"/>
      <c r="I148" s="29"/>
      <c r="J148" s="29"/>
      <c r="K148" s="29"/>
      <c r="L148" s="29"/>
      <c r="M148" s="29"/>
      <c r="N148" s="29"/>
      <c r="O148" s="29"/>
      <c r="P148" s="29"/>
      <c r="Q148" s="29"/>
      <c r="S148" s="5" t="s">
        <v>200</v>
      </c>
      <c r="T148" s="5">
        <v>7</v>
      </c>
      <c r="U148" s="5" t="s">
        <v>98</v>
      </c>
    </row>
    <row r="149" spans="1:46" x14ac:dyDescent="0.45">
      <c r="A149" s="29"/>
      <c r="B149" s="29"/>
      <c r="C149" s="29"/>
      <c r="D149" s="29"/>
      <c r="E149" s="29"/>
      <c r="F149" s="29"/>
      <c r="G149" s="29"/>
      <c r="H149" s="29"/>
      <c r="I149" s="29"/>
      <c r="J149" s="29"/>
      <c r="K149" s="29"/>
      <c r="L149" s="29"/>
      <c r="M149" s="29"/>
      <c r="N149" s="29"/>
      <c r="O149" s="29"/>
      <c r="P149" s="29"/>
      <c r="Q149" s="29"/>
      <c r="S149" s="5" t="s">
        <v>201</v>
      </c>
      <c r="T149" s="5">
        <v>2500</v>
      </c>
      <c r="U149" s="5" t="s">
        <v>45</v>
      </c>
    </row>
    <row r="150" spans="1:46" x14ac:dyDescent="0.45">
      <c r="A150" s="29"/>
      <c r="B150" s="29"/>
      <c r="C150" s="29"/>
      <c r="D150" s="29"/>
      <c r="E150" s="29"/>
      <c r="F150" s="29"/>
      <c r="G150" s="29"/>
      <c r="H150" s="29"/>
      <c r="I150" s="29"/>
      <c r="J150" s="29"/>
      <c r="K150" s="29"/>
      <c r="L150" s="29"/>
      <c r="M150" s="29"/>
      <c r="N150" s="29"/>
      <c r="O150" s="29"/>
      <c r="P150" s="29"/>
      <c r="Q150" s="29"/>
      <c r="S150" s="5" t="s">
        <v>202</v>
      </c>
      <c r="T150" s="5">
        <f>-T148</f>
        <v>-7</v>
      </c>
      <c r="U150" s="5" t="s">
        <v>98</v>
      </c>
    </row>
    <row r="151" spans="1:46" x14ac:dyDescent="0.45">
      <c r="A151" s="29"/>
      <c r="B151" s="29"/>
      <c r="C151" s="29"/>
      <c r="D151" s="29"/>
      <c r="E151" s="29"/>
      <c r="F151" s="29"/>
      <c r="G151" s="29"/>
      <c r="H151" s="29"/>
      <c r="I151" s="29"/>
      <c r="J151" s="29"/>
      <c r="K151" s="29"/>
      <c r="L151" s="29"/>
      <c r="M151" s="29"/>
      <c r="N151" s="29"/>
      <c r="O151" s="29"/>
      <c r="P151" s="29"/>
      <c r="Q151" s="29"/>
      <c r="S151" s="3" t="s">
        <v>203</v>
      </c>
      <c r="T151" s="3">
        <f>T149</f>
        <v>2500</v>
      </c>
      <c r="U151" s="5" t="s">
        <v>45</v>
      </c>
    </row>
    <row r="152" spans="1:46" x14ac:dyDescent="0.45">
      <c r="A152" s="29"/>
      <c r="B152" s="29"/>
      <c r="C152" s="29"/>
      <c r="D152" s="29"/>
      <c r="E152" s="29"/>
      <c r="F152" s="29"/>
      <c r="G152" s="29"/>
      <c r="H152" s="29"/>
      <c r="I152" s="29"/>
      <c r="J152" s="29"/>
      <c r="K152" s="29"/>
      <c r="L152" s="29"/>
      <c r="M152" s="29"/>
      <c r="N152" s="29"/>
      <c r="O152" s="29"/>
      <c r="P152" s="29"/>
      <c r="Q152" s="29"/>
      <c r="S152" s="3" t="s">
        <v>204</v>
      </c>
      <c r="T152" s="3">
        <v>0.2</v>
      </c>
      <c r="U152" s="5" t="s">
        <v>44</v>
      </c>
    </row>
    <row r="153" spans="1:46" x14ac:dyDescent="0.45">
      <c r="A153" s="29"/>
      <c r="B153" s="29"/>
      <c r="C153" s="29"/>
      <c r="D153" s="29"/>
      <c r="E153" s="29"/>
      <c r="F153" s="29"/>
      <c r="G153" s="29"/>
      <c r="H153" s="29"/>
      <c r="I153" s="29"/>
      <c r="J153" s="29"/>
      <c r="K153" s="29"/>
      <c r="L153" s="29"/>
      <c r="M153" s="29"/>
      <c r="N153" s="29"/>
      <c r="O153" s="29"/>
      <c r="P153" s="29"/>
      <c r="Q153" s="29"/>
      <c r="S153" s="3" t="s">
        <v>205</v>
      </c>
      <c r="T153" s="3">
        <v>7500</v>
      </c>
      <c r="U153" s="5" t="s">
        <v>45</v>
      </c>
    </row>
    <row r="154" spans="1:46" x14ac:dyDescent="0.45">
      <c r="A154" s="29"/>
      <c r="B154" s="29"/>
      <c r="C154" s="29"/>
      <c r="D154" s="29"/>
      <c r="E154" s="29"/>
      <c r="F154" s="29"/>
      <c r="G154" s="29"/>
      <c r="H154" s="29"/>
      <c r="I154" s="29"/>
      <c r="J154" s="29"/>
      <c r="K154" s="29"/>
      <c r="L154" s="29"/>
      <c r="M154" s="29"/>
      <c r="N154" s="29"/>
      <c r="O154" s="29"/>
      <c r="P154" s="29"/>
      <c r="Q154" s="29"/>
      <c r="S154" s="29"/>
      <c r="T154" s="29"/>
      <c r="U154" s="72"/>
      <c r="V154" s="29"/>
      <c r="W154" s="29"/>
      <c r="X154" s="29"/>
      <c r="Y154" s="29"/>
      <c r="Z154" s="29"/>
      <c r="AA154" s="29"/>
      <c r="AB154" s="29"/>
      <c r="AC154" s="29"/>
      <c r="AE154" s="29"/>
      <c r="AF154" s="29"/>
    </row>
    <row r="155" spans="1:46" x14ac:dyDescent="0.45">
      <c r="A155" s="29"/>
      <c r="B155" s="29"/>
      <c r="C155" s="29"/>
      <c r="D155" s="29"/>
      <c r="E155" s="29"/>
      <c r="F155" s="29"/>
      <c r="G155" s="29"/>
      <c r="H155" s="29"/>
      <c r="I155" s="29"/>
      <c r="J155" s="29"/>
      <c r="K155" s="29"/>
      <c r="L155" s="29"/>
      <c r="M155" s="29"/>
      <c r="N155" s="29"/>
      <c r="O155" s="29"/>
      <c r="P155" s="29"/>
      <c r="Q155" s="29"/>
      <c r="S155" s="77" t="s">
        <v>332</v>
      </c>
      <c r="T155" s="77" t="s">
        <v>333</v>
      </c>
      <c r="U155" s="78" t="s">
        <v>371</v>
      </c>
      <c r="V155" s="29"/>
      <c r="W155" s="29"/>
      <c r="X155" s="29"/>
      <c r="Y155" s="29"/>
      <c r="Z155" s="29"/>
      <c r="AA155" s="29"/>
      <c r="AB155" s="29"/>
      <c r="AC155" s="29"/>
      <c r="AD155" s="29"/>
      <c r="AE155" s="29"/>
      <c r="AF155" s="29"/>
    </row>
    <row r="156" spans="1:46" x14ac:dyDescent="0.45">
      <c r="A156" s="29"/>
      <c r="B156" s="29"/>
      <c r="C156" s="29"/>
      <c r="D156" s="29"/>
      <c r="E156" s="29"/>
      <c r="F156" s="29"/>
      <c r="G156" s="29"/>
      <c r="H156" s="29"/>
      <c r="I156" s="29"/>
      <c r="J156" s="29"/>
      <c r="K156" s="29"/>
      <c r="L156" s="29"/>
      <c r="M156" s="29"/>
      <c r="N156" s="29"/>
      <c r="O156" s="29"/>
      <c r="P156" s="29"/>
      <c r="Q156" s="29"/>
      <c r="R156" s="29"/>
      <c r="S156" s="57"/>
      <c r="T156" s="57"/>
      <c r="U156" s="73"/>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45">
      <c r="A157" s="29"/>
      <c r="B157" s="29"/>
      <c r="C157" s="29"/>
      <c r="D157" s="29"/>
      <c r="E157" s="29"/>
      <c r="F157" s="29"/>
      <c r="G157" s="29"/>
      <c r="H157" s="29"/>
      <c r="I157" s="29"/>
      <c r="J157" s="29"/>
      <c r="K157" s="29"/>
      <c r="L157" s="29"/>
      <c r="M157" s="29"/>
      <c r="N157" s="29"/>
      <c r="O157" s="29"/>
      <c r="P157" s="29"/>
      <c r="Q157" s="29"/>
      <c r="R157" s="29"/>
      <c r="S157" s="57" t="s">
        <v>335</v>
      </c>
      <c r="T157" s="57">
        <v>12</v>
      </c>
      <c r="U157" s="73" t="s">
        <v>97</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45">
      <c r="A158" s="29"/>
      <c r="B158" s="29"/>
      <c r="C158" s="29"/>
      <c r="D158" s="29"/>
      <c r="E158" s="29"/>
      <c r="F158" s="29"/>
      <c r="G158" s="29"/>
      <c r="H158" s="29"/>
      <c r="I158" s="29"/>
      <c r="J158" s="29"/>
      <c r="K158" s="29"/>
      <c r="L158" s="29"/>
      <c r="M158" s="29"/>
      <c r="N158" s="29"/>
      <c r="O158" s="29"/>
      <c r="P158" s="29"/>
      <c r="Q158" s="29"/>
      <c r="R158" s="29"/>
      <c r="S158" s="57" t="s">
        <v>338</v>
      </c>
      <c r="T158" s="57">
        <v>100</v>
      </c>
      <c r="U158" s="73" t="s">
        <v>97</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45">
      <c r="A160" s="47" t="s">
        <v>169</v>
      </c>
      <c r="B160" s="2" t="s">
        <v>343</v>
      </c>
      <c r="C160" s="47" t="s">
        <v>168</v>
      </c>
      <c r="D160" s="2" t="s">
        <v>374</v>
      </c>
      <c r="E160" s="29"/>
      <c r="F160" s="29"/>
      <c r="G160" s="29"/>
      <c r="H160" s="29"/>
      <c r="I160" s="29"/>
      <c r="J160" s="29"/>
      <c r="K160" s="29"/>
      <c r="L160" s="29"/>
      <c r="M160" s="29"/>
      <c r="N160" s="29"/>
      <c r="O160" s="29"/>
      <c r="P160" s="29"/>
      <c r="AO160" t="s">
        <v>170</v>
      </c>
      <c r="AP160" t="s">
        <v>344</v>
      </c>
      <c r="AQ160" t="s">
        <v>169</v>
      </c>
      <c r="AR160" t="s">
        <v>343</v>
      </c>
      <c r="AS160" t="s">
        <v>168</v>
      </c>
      <c r="AT160" t="s">
        <v>374</v>
      </c>
    </row>
    <row r="161" spans="1:22" x14ac:dyDescent="0.45">
      <c r="A161" s="35" t="s">
        <v>0</v>
      </c>
      <c r="B161" s="36"/>
      <c r="C161" s="18"/>
      <c r="D161" s="18"/>
      <c r="E161" s="18"/>
      <c r="F161" s="18"/>
      <c r="G161" s="18"/>
      <c r="H161" s="18"/>
      <c r="I161" s="18"/>
      <c r="J161" s="18"/>
      <c r="K161" s="18"/>
      <c r="L161" s="18"/>
      <c r="M161" s="18"/>
      <c r="N161" s="18"/>
      <c r="O161" s="18"/>
      <c r="P161" s="18"/>
      <c r="Q161" s="47" t="s">
        <v>329</v>
      </c>
    </row>
    <row r="162" spans="1:22" x14ac:dyDescent="0.4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342</v>
      </c>
      <c r="S162" s="76" t="s">
        <v>40</v>
      </c>
      <c r="T162" s="3"/>
      <c r="U162" s="5"/>
    </row>
    <row r="163" spans="1:22" x14ac:dyDescent="0.45">
      <c r="A163" s="20">
        <v>2</v>
      </c>
      <c r="B163" s="8" t="s">
        <v>9</v>
      </c>
      <c r="C163" s="8" t="s">
        <v>124</v>
      </c>
      <c r="D163" s="8" t="s">
        <v>124</v>
      </c>
      <c r="E163" s="8" t="s">
        <v>140</v>
      </c>
      <c r="F163" s="8" t="s">
        <v>130</v>
      </c>
      <c r="G163" s="8">
        <v>0</v>
      </c>
      <c r="H163" s="8" t="s">
        <v>20</v>
      </c>
      <c r="I163" s="8">
        <v>0.6</v>
      </c>
      <c r="J163" s="8">
        <v>0.2</v>
      </c>
      <c r="K163" s="8"/>
      <c r="L163" s="8"/>
      <c r="M163" s="8"/>
      <c r="N163" s="8"/>
      <c r="O163" s="8"/>
      <c r="P163" s="8"/>
      <c r="Q163" s="9" t="s">
        <v>342</v>
      </c>
      <c r="S163" s="5" t="s">
        <v>122</v>
      </c>
      <c r="T163" s="5">
        <v>0.2</v>
      </c>
      <c r="U163" s="5" t="s">
        <v>44</v>
      </c>
    </row>
    <row r="164" spans="1:22" x14ac:dyDescent="0.45">
      <c r="A164" s="20">
        <v>3</v>
      </c>
      <c r="B164" s="8" t="s">
        <v>1</v>
      </c>
      <c r="C164" s="8" t="s">
        <v>18</v>
      </c>
      <c r="D164" s="8" t="s">
        <v>124</v>
      </c>
      <c r="E164" s="8" t="s">
        <v>124</v>
      </c>
      <c r="F164" s="8" t="s">
        <v>124</v>
      </c>
      <c r="G164" s="8" t="e">
        <f>StartX</f>
        <v>#NAME?</v>
      </c>
      <c r="H164" s="8" t="e">
        <f>StartY</f>
        <v>#NAME?</v>
      </c>
      <c r="I164" s="8">
        <v>0</v>
      </c>
      <c r="J164" s="8" t="s">
        <v>19</v>
      </c>
      <c r="K164" s="8">
        <v>0.6</v>
      </c>
      <c r="L164" s="8">
        <v>0.2</v>
      </c>
      <c r="M164" s="8"/>
      <c r="N164" s="8"/>
      <c r="O164" s="8"/>
      <c r="P164" s="8"/>
      <c r="Q164" s="9" t="s">
        <v>342</v>
      </c>
      <c r="S164" s="5" t="s">
        <v>95</v>
      </c>
      <c r="T164" s="5">
        <v>1</v>
      </c>
      <c r="U164" s="5" t="s">
        <v>97</v>
      </c>
    </row>
    <row r="165" spans="1:22" x14ac:dyDescent="0.45">
      <c r="A165" s="20">
        <v>4</v>
      </c>
      <c r="B165" s="20"/>
      <c r="C165" s="20"/>
      <c r="D165" s="20"/>
      <c r="E165" s="20"/>
      <c r="F165" s="20"/>
      <c r="G165" s="20"/>
      <c r="H165" s="20"/>
      <c r="I165" s="20"/>
      <c r="J165" s="20"/>
      <c r="K165" s="20"/>
      <c r="L165" s="20"/>
      <c r="M165" s="20"/>
      <c r="N165" s="20"/>
      <c r="O165" s="20"/>
      <c r="P165" s="20"/>
      <c r="Q165" s="20"/>
      <c r="S165" s="5" t="s">
        <v>96</v>
      </c>
      <c r="T165" s="5">
        <v>1</v>
      </c>
      <c r="U165" s="5" t="s">
        <v>97</v>
      </c>
    </row>
    <row r="166" spans="1:22" x14ac:dyDescent="0.45">
      <c r="A166" s="20">
        <v>5</v>
      </c>
      <c r="B166" s="20"/>
      <c r="C166" s="20"/>
      <c r="D166" s="20"/>
      <c r="E166" s="20"/>
      <c r="F166" s="20"/>
      <c r="G166" s="20"/>
      <c r="H166" s="20"/>
      <c r="I166" s="20"/>
      <c r="J166" s="20"/>
      <c r="K166" s="20"/>
      <c r="L166" s="20"/>
      <c r="M166" s="20"/>
      <c r="N166" s="20"/>
      <c r="O166" s="20"/>
      <c r="P166" s="20"/>
      <c r="Q166" s="20"/>
      <c r="S166" s="5" t="s">
        <v>233</v>
      </c>
      <c r="T166" s="5" t="s">
        <v>244</v>
      </c>
      <c r="U166" s="5"/>
    </row>
    <row r="167" spans="1:22" x14ac:dyDescent="0.45">
      <c r="A167" s="20">
        <v>6</v>
      </c>
      <c r="B167" s="20"/>
      <c r="C167" s="20"/>
      <c r="D167" s="20"/>
      <c r="E167" s="20"/>
      <c r="F167" s="20"/>
      <c r="G167" s="20"/>
      <c r="H167" s="20"/>
      <c r="I167" s="20"/>
      <c r="J167" s="20"/>
      <c r="K167" s="20"/>
      <c r="L167" s="20"/>
      <c r="M167" s="20"/>
      <c r="N167" s="20"/>
      <c r="O167" s="20"/>
      <c r="P167" s="20"/>
      <c r="Q167" s="20"/>
      <c r="S167" s="5" t="s">
        <v>234</v>
      </c>
      <c r="T167" s="5">
        <v>0</v>
      </c>
      <c r="U167" s="5"/>
    </row>
    <row r="168" spans="1:22" x14ac:dyDescent="0.45">
      <c r="A168" s="20">
        <v>7</v>
      </c>
      <c r="B168" s="20"/>
      <c r="C168" s="20"/>
      <c r="D168" s="20"/>
      <c r="E168" s="20"/>
      <c r="F168" s="20"/>
      <c r="G168" s="20"/>
      <c r="H168" s="20"/>
      <c r="I168" s="20"/>
      <c r="J168" s="20"/>
      <c r="K168" s="20"/>
      <c r="L168" s="20"/>
      <c r="M168" s="20"/>
      <c r="N168" s="20"/>
      <c r="O168" s="20"/>
      <c r="P168" s="20"/>
      <c r="Q168" s="20"/>
      <c r="S168" s="46"/>
      <c r="T168" s="46"/>
      <c r="U168" s="71"/>
    </row>
    <row r="169" spans="1:22" x14ac:dyDescent="0.45">
      <c r="A169" s="20">
        <v>8</v>
      </c>
      <c r="B169" s="20"/>
      <c r="C169" s="20"/>
      <c r="D169" s="20"/>
      <c r="E169" s="20"/>
      <c r="F169" s="20"/>
      <c r="G169" s="20"/>
      <c r="H169" s="20"/>
      <c r="I169" s="20"/>
      <c r="J169" s="20"/>
      <c r="K169" s="20"/>
      <c r="L169" s="20"/>
      <c r="M169" s="20"/>
      <c r="N169" s="20"/>
      <c r="O169" s="20"/>
      <c r="P169" s="20"/>
      <c r="Q169" s="20"/>
      <c r="S169" s="5" t="s">
        <v>378</v>
      </c>
      <c r="T169" s="5">
        <v>60</v>
      </c>
      <c r="U169" s="5" t="s">
        <v>43</v>
      </c>
      <c r="V169" s="1"/>
    </row>
    <row r="170" spans="1:22" x14ac:dyDescent="0.45">
      <c r="A170" s="20">
        <v>9</v>
      </c>
      <c r="B170" s="20"/>
      <c r="C170" s="20"/>
      <c r="D170" s="20"/>
      <c r="E170" s="20"/>
      <c r="F170" s="20"/>
      <c r="G170" s="20"/>
      <c r="H170" s="20"/>
      <c r="I170" s="20"/>
      <c r="J170" s="20"/>
      <c r="K170" s="20"/>
      <c r="L170" s="20"/>
      <c r="M170" s="20"/>
      <c r="N170" s="20"/>
      <c r="O170" s="20"/>
      <c r="P170" s="20"/>
      <c r="Q170" s="20"/>
      <c r="S170" s="5" t="s">
        <v>93</v>
      </c>
      <c r="T170" s="5">
        <v>1000</v>
      </c>
      <c r="U170" s="5" t="s">
        <v>45</v>
      </c>
    </row>
    <row r="171" spans="1:22" x14ac:dyDescent="0.45">
      <c r="A171" s="20">
        <v>10</v>
      </c>
      <c r="B171" s="20"/>
      <c r="C171" s="20"/>
      <c r="D171" s="20"/>
      <c r="E171" s="20"/>
      <c r="F171" s="20"/>
      <c r="G171" s="20"/>
      <c r="H171" s="20"/>
      <c r="I171" s="20"/>
      <c r="J171" s="20"/>
      <c r="K171" s="20"/>
      <c r="L171" s="20"/>
      <c r="M171" s="20"/>
      <c r="N171" s="20"/>
      <c r="O171" s="20"/>
      <c r="P171" s="20"/>
      <c r="Q171" s="20"/>
      <c r="S171" s="5" t="s">
        <v>94</v>
      </c>
      <c r="T171" s="5">
        <v>9000</v>
      </c>
      <c r="U171" s="5" t="s">
        <v>45</v>
      </c>
    </row>
    <row r="172" spans="1:22" x14ac:dyDescent="0.4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4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45">
      <c r="A174" s="29"/>
      <c r="B174" s="29"/>
      <c r="C174" s="29"/>
      <c r="D174" s="29"/>
      <c r="E174" s="29"/>
      <c r="F174" s="29"/>
      <c r="G174" s="29"/>
      <c r="H174" s="29"/>
      <c r="I174" s="29"/>
      <c r="J174" s="29"/>
      <c r="K174" s="29"/>
      <c r="L174" s="29"/>
      <c r="M174" s="29"/>
      <c r="N174" s="29"/>
      <c r="O174" s="29"/>
      <c r="P174" s="29"/>
      <c r="Q174" s="29"/>
      <c r="S174" s="5" t="s">
        <v>46</v>
      </c>
      <c r="T174" s="5" t="s">
        <v>89</v>
      </c>
      <c r="U174" s="5" t="s">
        <v>98</v>
      </c>
    </row>
    <row r="175" spans="1:22" x14ac:dyDescent="0.45">
      <c r="A175" s="29"/>
      <c r="B175" s="29"/>
      <c r="C175" s="29"/>
      <c r="D175" s="29"/>
      <c r="E175" s="29"/>
      <c r="F175" s="29"/>
      <c r="G175" s="29"/>
      <c r="H175" s="29"/>
      <c r="I175" s="29"/>
      <c r="J175" s="29"/>
      <c r="K175" s="29"/>
      <c r="L175" s="29"/>
      <c r="M175" s="29"/>
      <c r="N175" s="29"/>
      <c r="O175" s="29"/>
      <c r="P175" s="29"/>
      <c r="Q175" s="29"/>
      <c r="S175" s="5" t="s">
        <v>132</v>
      </c>
      <c r="T175" s="5" t="s">
        <v>193</v>
      </c>
      <c r="U175" s="5"/>
    </row>
    <row r="176" spans="1:22" x14ac:dyDescent="0.45">
      <c r="A176" s="29"/>
      <c r="B176" s="29"/>
      <c r="C176" s="29"/>
      <c r="D176" s="29"/>
      <c r="E176" s="29"/>
      <c r="F176" s="29"/>
      <c r="G176" s="29"/>
      <c r="H176" s="29"/>
      <c r="I176" s="29"/>
      <c r="J176" s="29"/>
      <c r="K176" s="29"/>
      <c r="L176" s="29"/>
      <c r="M176" s="29"/>
      <c r="N176" s="29"/>
      <c r="O176" s="29"/>
      <c r="P176" s="29"/>
      <c r="Q176" s="29"/>
      <c r="S176" s="5" t="s">
        <v>192</v>
      </c>
      <c r="T176" s="5" t="s">
        <v>163</v>
      </c>
      <c r="U176" s="5"/>
    </row>
    <row r="177" spans="1:32" x14ac:dyDescent="0.45">
      <c r="A177" s="29"/>
      <c r="B177" s="29"/>
      <c r="C177" s="29"/>
      <c r="D177" s="29"/>
      <c r="E177" s="29"/>
      <c r="F177" s="29"/>
      <c r="G177" s="29"/>
      <c r="H177" s="29"/>
      <c r="I177" s="29"/>
      <c r="J177" s="29"/>
      <c r="K177" s="29"/>
      <c r="L177" s="29"/>
      <c r="M177" s="29"/>
      <c r="N177" s="29"/>
      <c r="O177" s="29"/>
      <c r="P177" s="29"/>
      <c r="Q177" s="29"/>
      <c r="S177" s="5" t="s">
        <v>207</v>
      </c>
      <c r="T177" s="5">
        <v>20</v>
      </c>
      <c r="U177" s="5" t="s">
        <v>44</v>
      </c>
    </row>
    <row r="178" spans="1:32" x14ac:dyDescent="0.45">
      <c r="A178" s="29"/>
      <c r="B178" s="29"/>
      <c r="C178" s="29"/>
      <c r="D178" s="29"/>
      <c r="E178" s="29"/>
      <c r="F178" s="29"/>
      <c r="G178" s="29"/>
      <c r="H178" s="29"/>
      <c r="I178" s="29"/>
      <c r="J178" s="29"/>
      <c r="K178" s="29"/>
      <c r="L178" s="29"/>
      <c r="M178" s="29"/>
      <c r="N178" s="29"/>
      <c r="O178" s="29"/>
      <c r="P178" s="29"/>
      <c r="Q178" s="29"/>
      <c r="S178" s="5" t="s">
        <v>208</v>
      </c>
      <c r="T178" s="5">
        <v>10</v>
      </c>
      <c r="U178" s="5" t="s">
        <v>44</v>
      </c>
    </row>
    <row r="179" spans="1:32" x14ac:dyDescent="0.45">
      <c r="A179" s="29"/>
      <c r="B179" s="29"/>
      <c r="C179" s="29"/>
      <c r="D179" s="29"/>
      <c r="E179" s="29"/>
      <c r="F179" s="29"/>
      <c r="G179" s="29"/>
      <c r="H179" s="29"/>
      <c r="I179" s="29"/>
      <c r="J179" s="29"/>
      <c r="K179" s="29"/>
      <c r="L179" s="29"/>
      <c r="M179" s="29"/>
      <c r="N179" s="29"/>
      <c r="O179" s="29"/>
      <c r="P179" s="29"/>
      <c r="Q179" s="29"/>
      <c r="S179" s="5" t="s">
        <v>209</v>
      </c>
      <c r="T179" s="5">
        <v>0.3</v>
      </c>
      <c r="U179" s="5" t="s">
        <v>44</v>
      </c>
    </row>
    <row r="180" spans="1:32" x14ac:dyDescent="0.45">
      <c r="A180" s="29"/>
      <c r="B180" s="29"/>
      <c r="C180" s="29"/>
      <c r="D180" s="29"/>
      <c r="E180" s="29"/>
      <c r="F180" s="29"/>
      <c r="G180" s="29"/>
      <c r="H180" s="29"/>
      <c r="I180" s="29"/>
      <c r="J180" s="29"/>
      <c r="K180" s="29"/>
      <c r="L180" s="29"/>
      <c r="M180" s="29"/>
      <c r="N180" s="29"/>
      <c r="O180" s="29"/>
      <c r="P180" s="29"/>
      <c r="Q180" s="29"/>
      <c r="S180" s="59" t="s">
        <v>379</v>
      </c>
      <c r="T180" s="5">
        <v>0</v>
      </c>
      <c r="U180" s="5"/>
      <c r="V180" s="1"/>
    </row>
    <row r="181" spans="1:32" x14ac:dyDescent="0.45">
      <c r="A181" s="29"/>
      <c r="B181" s="29"/>
      <c r="C181" s="29"/>
      <c r="D181" s="29"/>
      <c r="E181" s="29"/>
      <c r="F181" s="29"/>
      <c r="G181" s="29"/>
      <c r="H181" s="29"/>
      <c r="I181" s="29"/>
      <c r="J181" s="29"/>
      <c r="K181" s="29"/>
      <c r="L181" s="29"/>
      <c r="M181" s="29"/>
      <c r="N181" s="29"/>
      <c r="O181" s="29"/>
      <c r="P181" s="29"/>
      <c r="Q181" s="29"/>
      <c r="S181" s="5" t="s">
        <v>194</v>
      </c>
      <c r="T181" s="5" t="s">
        <v>206</v>
      </c>
      <c r="U181" s="5" t="s">
        <v>198</v>
      </c>
    </row>
    <row r="182" spans="1:32" x14ac:dyDescent="0.45">
      <c r="A182" s="29"/>
      <c r="B182" s="29"/>
      <c r="C182" s="29"/>
      <c r="D182" s="29"/>
      <c r="E182" s="29"/>
      <c r="F182" s="29"/>
      <c r="G182" s="29"/>
      <c r="H182" s="29"/>
      <c r="I182" s="29"/>
      <c r="J182" s="29"/>
      <c r="K182" s="29"/>
      <c r="L182" s="29"/>
      <c r="M182" s="29"/>
      <c r="N182" s="29"/>
      <c r="O182" s="29"/>
      <c r="P182" s="29"/>
      <c r="Q182" s="29"/>
      <c r="S182" s="5" t="s">
        <v>199</v>
      </c>
      <c r="T182" s="5">
        <v>5</v>
      </c>
      <c r="U182" s="5" t="s">
        <v>44</v>
      </c>
      <c r="V182" s="1"/>
    </row>
    <row r="183" spans="1:32" x14ac:dyDescent="0.45">
      <c r="A183" s="29"/>
      <c r="B183" s="29"/>
      <c r="C183" s="29"/>
      <c r="D183" s="29"/>
      <c r="E183" s="29"/>
      <c r="F183" s="29"/>
      <c r="G183" s="29"/>
      <c r="H183" s="29"/>
      <c r="I183" s="29"/>
      <c r="J183" s="29"/>
      <c r="K183" s="29"/>
      <c r="L183" s="29"/>
      <c r="M183" s="29"/>
      <c r="N183" s="29"/>
      <c r="O183" s="29"/>
      <c r="P183" s="29"/>
      <c r="Q183" s="29"/>
      <c r="S183" s="5" t="s">
        <v>200</v>
      </c>
      <c r="T183" s="5">
        <v>7</v>
      </c>
      <c r="U183" s="5" t="s">
        <v>98</v>
      </c>
    </row>
    <row r="184" spans="1:32" x14ac:dyDescent="0.45">
      <c r="A184" s="29"/>
      <c r="B184" s="29"/>
      <c r="C184" s="29"/>
      <c r="D184" s="29"/>
      <c r="E184" s="29"/>
      <c r="F184" s="29"/>
      <c r="G184" s="29"/>
      <c r="H184" s="29"/>
      <c r="I184" s="29"/>
      <c r="J184" s="29"/>
      <c r="K184" s="29"/>
      <c r="L184" s="29"/>
      <c r="M184" s="29"/>
      <c r="N184" s="29"/>
      <c r="O184" s="29"/>
      <c r="P184" s="29"/>
      <c r="Q184" s="29"/>
      <c r="S184" s="5" t="s">
        <v>201</v>
      </c>
      <c r="T184" s="5">
        <v>2500</v>
      </c>
      <c r="U184" s="5" t="s">
        <v>45</v>
      </c>
    </row>
    <row r="185" spans="1:32" x14ac:dyDescent="0.45">
      <c r="A185" s="29"/>
      <c r="B185" s="29"/>
      <c r="C185" s="29"/>
      <c r="D185" s="29"/>
      <c r="E185" s="29"/>
      <c r="F185" s="29"/>
      <c r="G185" s="29"/>
      <c r="H185" s="29"/>
      <c r="I185" s="29"/>
      <c r="J185" s="29"/>
      <c r="K185" s="29"/>
      <c r="L185" s="29"/>
      <c r="M185" s="29"/>
      <c r="N185" s="29"/>
      <c r="O185" s="29"/>
      <c r="P185" s="29"/>
      <c r="Q185" s="29"/>
      <c r="S185" s="5" t="s">
        <v>202</v>
      </c>
      <c r="T185" s="5">
        <f>-T183</f>
        <v>-7</v>
      </c>
      <c r="U185" s="5" t="s">
        <v>98</v>
      </c>
    </row>
    <row r="186" spans="1:32" x14ac:dyDescent="0.45">
      <c r="A186" s="29"/>
      <c r="B186" s="29"/>
      <c r="C186" s="29"/>
      <c r="D186" s="29"/>
      <c r="E186" s="29"/>
      <c r="F186" s="29"/>
      <c r="G186" s="29"/>
      <c r="H186" s="29"/>
      <c r="I186" s="29"/>
      <c r="J186" s="29"/>
      <c r="K186" s="29"/>
      <c r="L186" s="29"/>
      <c r="M186" s="29"/>
      <c r="N186" s="29"/>
      <c r="O186" s="29"/>
      <c r="P186" s="29"/>
      <c r="Q186" s="29"/>
      <c r="S186" s="3" t="s">
        <v>203</v>
      </c>
      <c r="T186" s="3">
        <f>T184</f>
        <v>2500</v>
      </c>
      <c r="U186" s="5" t="s">
        <v>45</v>
      </c>
    </row>
    <row r="187" spans="1:32" x14ac:dyDescent="0.45">
      <c r="A187" s="29"/>
      <c r="B187" s="29"/>
      <c r="C187" s="29"/>
      <c r="D187" s="29"/>
      <c r="E187" s="29"/>
      <c r="F187" s="29"/>
      <c r="G187" s="29"/>
      <c r="H187" s="29"/>
      <c r="I187" s="29"/>
      <c r="J187" s="29"/>
      <c r="K187" s="29"/>
      <c r="L187" s="29"/>
      <c r="M187" s="29"/>
      <c r="N187" s="29"/>
      <c r="O187" s="29"/>
      <c r="P187" s="29"/>
      <c r="Q187" s="29"/>
      <c r="S187" s="3" t="s">
        <v>204</v>
      </c>
      <c r="T187" s="3">
        <v>0.2</v>
      </c>
      <c r="U187" s="5" t="s">
        <v>44</v>
      </c>
    </row>
    <row r="188" spans="1:32" x14ac:dyDescent="0.45">
      <c r="A188" s="29"/>
      <c r="B188" s="29"/>
      <c r="C188" s="29"/>
      <c r="D188" s="29"/>
      <c r="E188" s="29"/>
      <c r="F188" s="29"/>
      <c r="G188" s="29"/>
      <c r="H188" s="29"/>
      <c r="I188" s="29"/>
      <c r="J188" s="29"/>
      <c r="K188" s="29"/>
      <c r="L188" s="29"/>
      <c r="M188" s="29"/>
      <c r="N188" s="29"/>
      <c r="O188" s="29"/>
      <c r="P188" s="29"/>
      <c r="Q188" s="29"/>
      <c r="S188" s="3" t="s">
        <v>205</v>
      </c>
      <c r="T188" s="3">
        <v>7500</v>
      </c>
      <c r="U188" s="5" t="s">
        <v>45</v>
      </c>
    </row>
    <row r="189" spans="1:32" x14ac:dyDescent="0.45">
      <c r="A189" s="29"/>
      <c r="B189" s="29"/>
      <c r="C189" s="29"/>
      <c r="D189" s="29"/>
      <c r="E189" s="29"/>
      <c r="F189" s="29"/>
      <c r="G189" s="29"/>
      <c r="H189" s="29"/>
      <c r="I189" s="29"/>
      <c r="J189" s="29"/>
      <c r="K189" s="29"/>
      <c r="L189" s="29"/>
      <c r="M189" s="29"/>
      <c r="N189" s="29"/>
      <c r="O189" s="29"/>
      <c r="P189" s="29"/>
      <c r="Q189" s="29"/>
      <c r="S189" s="29"/>
      <c r="T189" s="29"/>
      <c r="U189" s="72"/>
      <c r="V189" s="29"/>
      <c r="W189" s="29"/>
      <c r="X189" s="29"/>
      <c r="Y189" s="29"/>
      <c r="Z189" s="29"/>
      <c r="AA189" s="29"/>
      <c r="AB189" s="29"/>
      <c r="AC189" s="29"/>
      <c r="AE189" s="29"/>
      <c r="AF189" s="29"/>
    </row>
    <row r="190" spans="1:32" x14ac:dyDescent="0.45">
      <c r="A190" s="29"/>
      <c r="B190" s="29"/>
      <c r="C190" s="29"/>
      <c r="D190" s="29"/>
      <c r="E190" s="29"/>
      <c r="F190" s="29"/>
      <c r="G190" s="29"/>
      <c r="H190" s="29"/>
      <c r="I190" s="29"/>
      <c r="J190" s="29"/>
      <c r="K190" s="29"/>
      <c r="L190" s="29"/>
      <c r="M190" s="29"/>
      <c r="N190" s="29"/>
      <c r="O190" s="29"/>
      <c r="P190" s="29"/>
      <c r="Q190" s="29"/>
      <c r="S190" s="77" t="s">
        <v>332</v>
      </c>
      <c r="T190" s="77" t="s">
        <v>333</v>
      </c>
      <c r="U190" s="78" t="s">
        <v>371</v>
      </c>
      <c r="V190" s="29"/>
      <c r="W190" s="29"/>
      <c r="X190" s="29"/>
      <c r="Y190" s="29"/>
      <c r="Z190" s="29"/>
      <c r="AA190" s="29"/>
      <c r="AB190" s="29"/>
      <c r="AC190" s="29"/>
      <c r="AD190" s="29"/>
      <c r="AE190" s="29"/>
      <c r="AF190" s="29"/>
    </row>
    <row r="191" spans="1:32" x14ac:dyDescent="0.45">
      <c r="S191" s="57"/>
      <c r="T191" s="57"/>
      <c r="U191" s="73"/>
    </row>
    <row r="192" spans="1:32" x14ac:dyDescent="0.45">
      <c r="S192" s="57" t="s">
        <v>311</v>
      </c>
      <c r="T192" s="57">
        <v>50</v>
      </c>
      <c r="U192" s="73" t="s">
        <v>44</v>
      </c>
    </row>
    <row r="193" spans="1:46" x14ac:dyDescent="0.45">
      <c r="S193" s="60" t="s">
        <v>312</v>
      </c>
      <c r="T193" s="60">
        <v>50</v>
      </c>
      <c r="U193" s="73" t="s">
        <v>44</v>
      </c>
    </row>
    <row r="195" spans="1:46" x14ac:dyDescent="0.45">
      <c r="A195" s="47" t="s">
        <v>169</v>
      </c>
      <c r="B195" s="2" t="s">
        <v>345</v>
      </c>
      <c r="C195" s="47" t="s">
        <v>168</v>
      </c>
      <c r="D195" s="2" t="s">
        <v>374</v>
      </c>
      <c r="E195" s="29"/>
      <c r="F195" s="29"/>
      <c r="G195" s="29"/>
      <c r="H195" s="29"/>
      <c r="I195" s="29"/>
      <c r="J195" s="29"/>
      <c r="K195" s="29"/>
      <c r="L195" s="29"/>
      <c r="M195" s="29"/>
      <c r="N195" s="29"/>
      <c r="O195" s="29"/>
      <c r="P195" s="29"/>
      <c r="AO195" t="s">
        <v>170</v>
      </c>
      <c r="AP195" t="s">
        <v>346</v>
      </c>
      <c r="AQ195" t="s">
        <v>169</v>
      </c>
      <c r="AR195" t="s">
        <v>345</v>
      </c>
      <c r="AS195" t="s">
        <v>168</v>
      </c>
      <c r="AT195" t="s">
        <v>374</v>
      </c>
    </row>
    <row r="196" spans="1:46" x14ac:dyDescent="0.45">
      <c r="A196" s="35" t="s">
        <v>0</v>
      </c>
      <c r="B196" s="36"/>
      <c r="C196" s="18"/>
      <c r="D196" s="18"/>
      <c r="E196" s="18"/>
      <c r="F196" s="18"/>
      <c r="G196" s="18"/>
      <c r="H196" s="18"/>
      <c r="I196" s="18"/>
      <c r="J196" s="18"/>
      <c r="K196" s="18"/>
      <c r="L196" s="18"/>
      <c r="M196" s="18"/>
      <c r="N196" s="18"/>
      <c r="O196" s="18"/>
      <c r="P196" s="18"/>
      <c r="Q196" s="47" t="s">
        <v>329</v>
      </c>
    </row>
    <row r="197" spans="1:46" x14ac:dyDescent="0.4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342</v>
      </c>
      <c r="S197" s="76" t="s">
        <v>40</v>
      </c>
      <c r="T197" s="3"/>
      <c r="U197" s="5"/>
    </row>
    <row r="198" spans="1:46" x14ac:dyDescent="0.45">
      <c r="A198" s="20">
        <v>2</v>
      </c>
      <c r="B198" s="8" t="s">
        <v>9</v>
      </c>
      <c r="C198" s="8" t="s">
        <v>124</v>
      </c>
      <c r="D198" s="8" t="s">
        <v>124</v>
      </c>
      <c r="E198" s="8" t="s">
        <v>140</v>
      </c>
      <c r="F198" s="8" t="s">
        <v>130</v>
      </c>
      <c r="G198" s="8">
        <v>0</v>
      </c>
      <c r="H198" s="8" t="s">
        <v>20</v>
      </c>
      <c r="I198" s="8">
        <v>0.6</v>
      </c>
      <c r="J198" s="8">
        <v>0.2</v>
      </c>
      <c r="K198" s="8"/>
      <c r="L198" s="8"/>
      <c r="M198" s="8"/>
      <c r="N198" s="8"/>
      <c r="O198" s="8"/>
      <c r="P198" s="8"/>
      <c r="Q198" s="9" t="s">
        <v>342</v>
      </c>
      <c r="S198" s="5" t="s">
        <v>122</v>
      </c>
      <c r="T198" s="5">
        <v>0.2</v>
      </c>
      <c r="U198" s="5" t="s">
        <v>44</v>
      </c>
    </row>
    <row r="199" spans="1:46" x14ac:dyDescent="0.45">
      <c r="A199" s="20">
        <v>3</v>
      </c>
      <c r="B199" s="8" t="s">
        <v>1</v>
      </c>
      <c r="C199" s="8" t="s">
        <v>18</v>
      </c>
      <c r="D199" s="8" t="s">
        <v>124</v>
      </c>
      <c r="E199" s="8" t="s">
        <v>124</v>
      </c>
      <c r="F199" s="8" t="s">
        <v>124</v>
      </c>
      <c r="G199" s="8">
        <v>40</v>
      </c>
      <c r="H199" s="8">
        <v>50</v>
      </c>
      <c r="I199" s="8">
        <v>0</v>
      </c>
      <c r="J199" s="8" t="s">
        <v>19</v>
      </c>
      <c r="K199" s="8">
        <v>0.6</v>
      </c>
      <c r="L199" s="8">
        <v>0.2</v>
      </c>
      <c r="M199" s="8"/>
      <c r="N199" s="8"/>
      <c r="O199" s="8"/>
      <c r="P199" s="8"/>
      <c r="Q199" s="9" t="s">
        <v>342</v>
      </c>
      <c r="S199" s="5" t="s">
        <v>95</v>
      </c>
      <c r="T199" s="5">
        <v>1</v>
      </c>
      <c r="U199" s="5" t="s">
        <v>97</v>
      </c>
    </row>
    <row r="200" spans="1:46" x14ac:dyDescent="0.45">
      <c r="A200" s="20">
        <v>4</v>
      </c>
      <c r="B200" s="38" t="s">
        <v>72</v>
      </c>
      <c r="C200" s="38">
        <v>50</v>
      </c>
      <c r="D200" s="38">
        <v>50</v>
      </c>
      <c r="E200" s="38">
        <v>0</v>
      </c>
      <c r="F200" s="38">
        <v>10</v>
      </c>
      <c r="G200" s="38">
        <v>180</v>
      </c>
      <c r="H200" s="38" t="s">
        <v>20</v>
      </c>
      <c r="I200" s="38" t="e">
        <f>Sides</f>
        <v>#NAME?</v>
      </c>
      <c r="J200" s="38">
        <v>0.6</v>
      </c>
      <c r="K200" s="38">
        <v>0.2</v>
      </c>
      <c r="L200" s="38"/>
      <c r="M200" s="38"/>
      <c r="N200" s="38"/>
      <c r="O200" s="38"/>
      <c r="P200" s="38"/>
      <c r="Q200" s="38" t="s">
        <v>336</v>
      </c>
      <c r="S200" s="5" t="s">
        <v>96</v>
      </c>
      <c r="T200" s="5">
        <v>1</v>
      </c>
      <c r="U200" s="5" t="s">
        <v>97</v>
      </c>
    </row>
    <row r="201" spans="1:46" x14ac:dyDescent="0.45">
      <c r="A201" s="20">
        <v>5</v>
      </c>
      <c r="B201" s="27" t="s">
        <v>56</v>
      </c>
      <c r="C201" s="27">
        <v>4</v>
      </c>
      <c r="D201" s="27">
        <v>0</v>
      </c>
      <c r="E201" s="27">
        <v>0</v>
      </c>
      <c r="F201" s="27">
        <v>0.2</v>
      </c>
      <c r="G201" s="27" t="e">
        <f>Layers</f>
        <v>#NAME?</v>
      </c>
      <c r="H201" s="27"/>
      <c r="I201" s="27"/>
      <c r="J201" s="27"/>
      <c r="K201" s="27"/>
      <c r="L201" s="27"/>
      <c r="M201" s="27"/>
      <c r="N201" s="27"/>
      <c r="O201" s="27"/>
      <c r="P201" s="27"/>
      <c r="Q201" s="27" t="s">
        <v>337</v>
      </c>
      <c r="S201" s="5" t="s">
        <v>233</v>
      </c>
      <c r="T201" s="5" t="s">
        <v>244</v>
      </c>
      <c r="U201" s="5"/>
    </row>
    <row r="202" spans="1:46" x14ac:dyDescent="0.45">
      <c r="A202" s="20">
        <v>6</v>
      </c>
      <c r="B202" s="37" t="s">
        <v>53</v>
      </c>
      <c r="C202" s="37">
        <v>5</v>
      </c>
      <c r="D202" s="37">
        <v>4</v>
      </c>
      <c r="E202" s="37">
        <v>1</v>
      </c>
      <c r="F202" s="37" t="e">
        <f>Layers</f>
        <v>#NAME?</v>
      </c>
      <c r="G202" s="37" t="s">
        <v>178</v>
      </c>
      <c r="H202" s="37">
        <v>0</v>
      </c>
      <c r="I202" s="41" t="s">
        <v>138</v>
      </c>
      <c r="J202" s="41" t="s">
        <v>180</v>
      </c>
      <c r="K202" s="37" t="s">
        <v>143</v>
      </c>
      <c r="L202" s="37" t="s">
        <v>143</v>
      </c>
      <c r="M202" s="37"/>
      <c r="N202" s="37"/>
      <c r="O202" s="37"/>
      <c r="P202" s="37"/>
      <c r="Q202" s="4" t="s">
        <v>369</v>
      </c>
      <c r="S202" s="5" t="s">
        <v>234</v>
      </c>
      <c r="T202" s="5">
        <v>0</v>
      </c>
      <c r="U202" s="5"/>
    </row>
    <row r="203" spans="1:46" x14ac:dyDescent="0.45">
      <c r="A203" s="20">
        <v>7</v>
      </c>
      <c r="B203" s="92" t="s">
        <v>334</v>
      </c>
      <c r="C203" s="37" t="s">
        <v>165</v>
      </c>
      <c r="D203" s="37" t="s">
        <v>210</v>
      </c>
      <c r="E203" s="37">
        <f>C200</f>
        <v>50</v>
      </c>
      <c r="F203" s="37">
        <f>D200</f>
        <v>50</v>
      </c>
      <c r="G203" s="37">
        <v>0</v>
      </c>
      <c r="H203" s="37">
        <v>0</v>
      </c>
      <c r="I203" s="37" t="s">
        <v>301</v>
      </c>
      <c r="J203" s="37" t="s">
        <v>143</v>
      </c>
      <c r="K203" s="37" t="s">
        <v>143</v>
      </c>
      <c r="L203" s="37"/>
      <c r="M203" s="37"/>
      <c r="N203" s="37"/>
      <c r="O203" s="37"/>
      <c r="P203" s="37"/>
      <c r="Q203" s="4" t="s">
        <v>369</v>
      </c>
      <c r="S203" s="46"/>
      <c r="T203" s="46"/>
      <c r="U203" s="71"/>
    </row>
    <row r="204" spans="1:46" x14ac:dyDescent="0.45">
      <c r="A204" s="20">
        <v>8</v>
      </c>
      <c r="B204" s="20"/>
      <c r="C204" s="20"/>
      <c r="D204" s="20"/>
      <c r="E204" s="20"/>
      <c r="F204" s="20"/>
      <c r="G204" s="20"/>
      <c r="H204" s="20"/>
      <c r="I204" s="20"/>
      <c r="J204" s="20"/>
      <c r="K204" s="20"/>
      <c r="L204" s="20"/>
      <c r="M204" s="20"/>
      <c r="N204" s="20"/>
      <c r="O204" s="20"/>
      <c r="P204" s="20"/>
      <c r="Q204" s="20"/>
      <c r="S204" s="5" t="s">
        <v>378</v>
      </c>
      <c r="T204" s="5">
        <v>60</v>
      </c>
      <c r="U204" s="5" t="s">
        <v>43</v>
      </c>
      <c r="V204" s="1"/>
    </row>
    <row r="205" spans="1:46" x14ac:dyDescent="0.45">
      <c r="A205" s="20">
        <v>9</v>
      </c>
      <c r="B205" s="20"/>
      <c r="C205" s="21" t="s">
        <v>368</v>
      </c>
      <c r="D205" s="21"/>
      <c r="E205" s="21"/>
      <c r="F205" s="21"/>
      <c r="G205" s="21"/>
      <c r="H205" s="21"/>
      <c r="I205" s="21"/>
      <c r="J205" s="20"/>
      <c r="K205" s="20"/>
      <c r="L205" s="20"/>
      <c r="M205" s="20"/>
      <c r="N205" s="20"/>
      <c r="O205" s="20"/>
      <c r="P205" s="20"/>
      <c r="Q205" s="20"/>
      <c r="S205" s="5" t="s">
        <v>93</v>
      </c>
      <c r="T205" s="5">
        <v>1000</v>
      </c>
      <c r="U205" s="5" t="s">
        <v>45</v>
      </c>
    </row>
    <row r="206" spans="1:46" x14ac:dyDescent="0.45">
      <c r="A206" s="20">
        <v>10</v>
      </c>
      <c r="B206" s="20"/>
      <c r="C206" s="20"/>
      <c r="D206" s="20"/>
      <c r="E206" s="20"/>
      <c r="F206" s="20"/>
      <c r="G206" s="20"/>
      <c r="H206" s="20"/>
      <c r="I206" s="20"/>
      <c r="J206" s="20"/>
      <c r="K206" s="20"/>
      <c r="L206" s="20"/>
      <c r="M206" s="20"/>
      <c r="N206" s="20"/>
      <c r="O206" s="20"/>
      <c r="P206" s="20"/>
      <c r="Q206" s="20"/>
      <c r="S206" s="5" t="s">
        <v>94</v>
      </c>
      <c r="T206" s="5">
        <v>9000</v>
      </c>
      <c r="U206" s="5" t="s">
        <v>45</v>
      </c>
    </row>
    <row r="207" spans="1:46" x14ac:dyDescent="0.4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4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45">
      <c r="A209" s="29"/>
      <c r="B209" s="29"/>
      <c r="C209" s="29"/>
      <c r="D209" s="29"/>
      <c r="E209" s="29"/>
      <c r="F209" s="29"/>
      <c r="G209" s="29"/>
      <c r="H209" s="29"/>
      <c r="I209" s="29"/>
      <c r="J209" s="29"/>
      <c r="K209" s="29"/>
      <c r="L209" s="29"/>
      <c r="M209" s="29"/>
      <c r="N209" s="29"/>
      <c r="O209" s="29"/>
      <c r="P209" s="29"/>
      <c r="Q209" s="29"/>
      <c r="S209" s="5" t="s">
        <v>46</v>
      </c>
      <c r="T209" s="5" t="s">
        <v>89</v>
      </c>
      <c r="U209" s="5" t="s">
        <v>98</v>
      </c>
    </row>
    <row r="210" spans="1:32" x14ac:dyDescent="0.45">
      <c r="A210" s="29"/>
      <c r="B210" s="29"/>
      <c r="C210" s="29"/>
      <c r="D210" s="29"/>
      <c r="E210" s="29"/>
      <c r="F210" s="29"/>
      <c r="G210" s="29"/>
      <c r="H210" s="29"/>
      <c r="I210" s="29"/>
      <c r="J210" s="29"/>
      <c r="K210" s="29"/>
      <c r="L210" s="29"/>
      <c r="M210" s="29"/>
      <c r="N210" s="29"/>
      <c r="O210" s="29"/>
      <c r="P210" s="29"/>
      <c r="Q210" s="29"/>
      <c r="S210" s="5" t="s">
        <v>132</v>
      </c>
      <c r="T210" s="5" t="s">
        <v>193</v>
      </c>
      <c r="U210" s="5"/>
    </row>
    <row r="211" spans="1:32" x14ac:dyDescent="0.45">
      <c r="A211" s="29"/>
      <c r="B211" s="29"/>
      <c r="C211" s="29"/>
      <c r="D211" s="29"/>
      <c r="E211" s="29"/>
      <c r="F211" s="29"/>
      <c r="G211" s="29"/>
      <c r="H211" s="29"/>
      <c r="I211" s="29"/>
      <c r="J211" s="29"/>
      <c r="K211" s="29"/>
      <c r="L211" s="29"/>
      <c r="M211" s="29"/>
      <c r="N211" s="29"/>
      <c r="O211" s="29"/>
      <c r="P211" s="29"/>
      <c r="Q211" s="29"/>
      <c r="S211" s="5" t="s">
        <v>192</v>
      </c>
      <c r="T211" s="5" t="s">
        <v>163</v>
      </c>
      <c r="U211" s="5"/>
    </row>
    <row r="212" spans="1:32" x14ac:dyDescent="0.45">
      <c r="A212" s="29"/>
      <c r="B212" s="29"/>
      <c r="C212" s="29"/>
      <c r="D212" s="29"/>
      <c r="E212" s="29"/>
      <c r="F212" s="29"/>
      <c r="G212" s="29"/>
      <c r="H212" s="29"/>
      <c r="I212" s="29"/>
      <c r="J212" s="29"/>
      <c r="K212" s="29"/>
      <c r="L212" s="29"/>
      <c r="M212" s="29"/>
      <c r="N212" s="29"/>
      <c r="O212" s="29"/>
      <c r="P212" s="29"/>
      <c r="Q212" s="29"/>
      <c r="S212" s="5" t="s">
        <v>207</v>
      </c>
      <c r="T212" s="5">
        <v>20</v>
      </c>
      <c r="U212" s="5" t="s">
        <v>44</v>
      </c>
    </row>
    <row r="213" spans="1:32" x14ac:dyDescent="0.45">
      <c r="A213" s="29"/>
      <c r="B213" s="29"/>
      <c r="C213" s="29"/>
      <c r="D213" s="29"/>
      <c r="E213" s="29"/>
      <c r="F213" s="29"/>
      <c r="G213" s="29"/>
      <c r="H213" s="29"/>
      <c r="I213" s="29"/>
      <c r="J213" s="29"/>
      <c r="K213" s="29"/>
      <c r="L213" s="29"/>
      <c r="M213" s="29"/>
      <c r="N213" s="29"/>
      <c r="O213" s="29"/>
      <c r="P213" s="29"/>
      <c r="Q213" s="29"/>
      <c r="S213" s="5" t="s">
        <v>208</v>
      </c>
      <c r="T213" s="5">
        <v>10</v>
      </c>
      <c r="U213" s="5" t="s">
        <v>44</v>
      </c>
    </row>
    <row r="214" spans="1:32" x14ac:dyDescent="0.45">
      <c r="A214" s="29"/>
      <c r="B214" s="29"/>
      <c r="C214" s="29"/>
      <c r="D214" s="29"/>
      <c r="E214" s="29"/>
      <c r="F214" s="29"/>
      <c r="G214" s="29"/>
      <c r="H214" s="29"/>
      <c r="I214" s="29"/>
      <c r="J214" s="29"/>
      <c r="K214" s="29"/>
      <c r="L214" s="29"/>
      <c r="M214" s="29"/>
      <c r="N214" s="29"/>
      <c r="O214" s="29"/>
      <c r="P214" s="29"/>
      <c r="Q214" s="29"/>
      <c r="S214" s="5" t="s">
        <v>209</v>
      </c>
      <c r="T214" s="5">
        <v>0.3</v>
      </c>
      <c r="U214" s="5" t="s">
        <v>44</v>
      </c>
    </row>
    <row r="215" spans="1:32" x14ac:dyDescent="0.45">
      <c r="A215" s="29"/>
      <c r="B215" s="29"/>
      <c r="C215" s="29"/>
      <c r="D215" s="29"/>
      <c r="E215" s="29"/>
      <c r="F215" s="29"/>
      <c r="G215" s="29"/>
      <c r="H215" s="29"/>
      <c r="I215" s="29"/>
      <c r="J215" s="29"/>
      <c r="K215" s="29"/>
      <c r="L215" s="29"/>
      <c r="M215" s="29"/>
      <c r="N215" s="29"/>
      <c r="O215" s="29"/>
      <c r="P215" s="29"/>
      <c r="Q215" s="29"/>
      <c r="S215" s="59" t="s">
        <v>379</v>
      </c>
      <c r="T215" s="5">
        <v>0</v>
      </c>
      <c r="U215" s="5"/>
      <c r="V215" s="1"/>
    </row>
    <row r="216" spans="1:32" x14ac:dyDescent="0.45">
      <c r="A216" s="29"/>
      <c r="B216" s="29"/>
      <c r="C216" s="29"/>
      <c r="D216" s="29"/>
      <c r="E216" s="29"/>
      <c r="F216" s="29"/>
      <c r="G216" s="29"/>
      <c r="H216" s="29"/>
      <c r="I216" s="29"/>
      <c r="J216" s="29"/>
      <c r="K216" s="29"/>
      <c r="L216" s="29"/>
      <c r="M216" s="29"/>
      <c r="N216" s="29"/>
      <c r="O216" s="29"/>
      <c r="P216" s="29"/>
      <c r="Q216" s="29"/>
      <c r="S216" s="5" t="s">
        <v>194</v>
      </c>
      <c r="T216" s="5" t="s">
        <v>206</v>
      </c>
      <c r="U216" s="5" t="s">
        <v>198</v>
      </c>
    </row>
    <row r="217" spans="1:32" x14ac:dyDescent="0.45">
      <c r="A217" s="29"/>
      <c r="B217" s="29"/>
      <c r="C217" s="29"/>
      <c r="D217" s="29"/>
      <c r="E217" s="29"/>
      <c r="F217" s="29"/>
      <c r="G217" s="29"/>
      <c r="H217" s="29"/>
      <c r="I217" s="29"/>
      <c r="J217" s="29"/>
      <c r="K217" s="29"/>
      <c r="L217" s="29"/>
      <c r="M217" s="29"/>
      <c r="N217" s="29"/>
      <c r="O217" s="29"/>
      <c r="P217" s="29"/>
      <c r="Q217" s="29"/>
      <c r="S217" s="5" t="s">
        <v>199</v>
      </c>
      <c r="T217" s="5">
        <v>5</v>
      </c>
      <c r="U217" s="5" t="s">
        <v>44</v>
      </c>
      <c r="V217" s="1"/>
    </row>
    <row r="218" spans="1:32" x14ac:dyDescent="0.45">
      <c r="A218" s="29"/>
      <c r="B218" s="29"/>
      <c r="C218" s="29"/>
      <c r="D218" s="29"/>
      <c r="E218" s="29"/>
      <c r="F218" s="29"/>
      <c r="G218" s="29"/>
      <c r="H218" s="29"/>
      <c r="I218" s="29"/>
      <c r="J218" s="29"/>
      <c r="K218" s="29"/>
      <c r="L218" s="29"/>
      <c r="M218" s="29"/>
      <c r="N218" s="29"/>
      <c r="O218" s="29"/>
      <c r="P218" s="29"/>
      <c r="Q218" s="29"/>
      <c r="S218" s="5" t="s">
        <v>200</v>
      </c>
      <c r="T218" s="5">
        <v>7</v>
      </c>
      <c r="U218" s="5" t="s">
        <v>98</v>
      </c>
    </row>
    <row r="219" spans="1:32" x14ac:dyDescent="0.45">
      <c r="A219" s="29"/>
      <c r="B219" s="29"/>
      <c r="C219" s="29"/>
      <c r="D219" s="29"/>
      <c r="E219" s="29"/>
      <c r="F219" s="29"/>
      <c r="G219" s="29"/>
      <c r="H219" s="29"/>
      <c r="I219" s="29"/>
      <c r="J219" s="29"/>
      <c r="K219" s="29"/>
      <c r="L219" s="29"/>
      <c r="M219" s="29"/>
      <c r="N219" s="29"/>
      <c r="O219" s="29"/>
      <c r="P219" s="29"/>
      <c r="Q219" s="29"/>
      <c r="S219" s="5" t="s">
        <v>201</v>
      </c>
      <c r="T219" s="5">
        <v>2500</v>
      </c>
      <c r="U219" s="5" t="s">
        <v>45</v>
      </c>
    </row>
    <row r="220" spans="1:32" x14ac:dyDescent="0.45">
      <c r="A220" s="29"/>
      <c r="B220" s="29"/>
      <c r="C220" s="29"/>
      <c r="D220" s="29"/>
      <c r="E220" s="29"/>
      <c r="F220" s="29"/>
      <c r="G220" s="29"/>
      <c r="H220" s="29"/>
      <c r="I220" s="29"/>
      <c r="J220" s="29"/>
      <c r="K220" s="29"/>
      <c r="L220" s="29"/>
      <c r="M220" s="29"/>
      <c r="N220" s="29"/>
      <c r="O220" s="29"/>
      <c r="P220" s="29"/>
      <c r="Q220" s="29"/>
      <c r="S220" s="5" t="s">
        <v>202</v>
      </c>
      <c r="T220" s="5">
        <f>-T218</f>
        <v>-7</v>
      </c>
      <c r="U220" s="5" t="s">
        <v>98</v>
      </c>
    </row>
    <row r="221" spans="1:32" x14ac:dyDescent="0.45">
      <c r="A221" s="29"/>
      <c r="B221" s="29"/>
      <c r="C221" s="29"/>
      <c r="D221" s="29"/>
      <c r="E221" s="29"/>
      <c r="F221" s="29"/>
      <c r="G221" s="29"/>
      <c r="H221" s="29"/>
      <c r="I221" s="29"/>
      <c r="J221" s="29"/>
      <c r="K221" s="29"/>
      <c r="L221" s="29"/>
      <c r="M221" s="29"/>
      <c r="N221" s="29"/>
      <c r="O221" s="29"/>
      <c r="P221" s="29"/>
      <c r="Q221" s="29"/>
      <c r="S221" s="3" t="s">
        <v>203</v>
      </c>
      <c r="T221" s="3">
        <f>T219</f>
        <v>2500</v>
      </c>
      <c r="U221" s="5" t="s">
        <v>45</v>
      </c>
    </row>
    <row r="222" spans="1:32" x14ac:dyDescent="0.45">
      <c r="A222" s="29"/>
      <c r="B222" s="29"/>
      <c r="C222" s="29"/>
      <c r="D222" s="29"/>
      <c r="E222" s="29"/>
      <c r="F222" s="29"/>
      <c r="G222" s="29"/>
      <c r="H222" s="29"/>
      <c r="I222" s="29"/>
      <c r="J222" s="29"/>
      <c r="K222" s="29"/>
      <c r="L222" s="29"/>
      <c r="M222" s="29"/>
      <c r="N222" s="29"/>
      <c r="O222" s="29"/>
      <c r="P222" s="29"/>
      <c r="Q222" s="29"/>
      <c r="S222" s="3" t="s">
        <v>204</v>
      </c>
      <c r="T222" s="3">
        <v>0.2</v>
      </c>
      <c r="U222" s="5" t="s">
        <v>44</v>
      </c>
    </row>
    <row r="223" spans="1:32" x14ac:dyDescent="0.45">
      <c r="A223" s="29"/>
      <c r="B223" s="29"/>
      <c r="C223" s="29"/>
      <c r="D223" s="29"/>
      <c r="E223" s="29"/>
      <c r="F223" s="29"/>
      <c r="G223" s="29"/>
      <c r="H223" s="29"/>
      <c r="I223" s="29"/>
      <c r="J223" s="29"/>
      <c r="K223" s="29"/>
      <c r="L223" s="29"/>
      <c r="M223" s="29"/>
      <c r="N223" s="29"/>
      <c r="O223" s="29"/>
      <c r="P223" s="29"/>
      <c r="Q223" s="29"/>
      <c r="S223" s="3" t="s">
        <v>205</v>
      </c>
      <c r="T223" s="3">
        <v>7500</v>
      </c>
      <c r="U223" s="5" t="s">
        <v>45</v>
      </c>
    </row>
    <row r="224" spans="1:32" x14ac:dyDescent="0.45">
      <c r="A224" s="29"/>
      <c r="B224" s="29"/>
      <c r="C224" s="29"/>
      <c r="D224" s="29"/>
      <c r="E224" s="29"/>
      <c r="F224" s="29"/>
      <c r="G224" s="29"/>
      <c r="H224" s="29"/>
      <c r="I224" s="29"/>
      <c r="J224" s="29"/>
      <c r="K224" s="29"/>
      <c r="L224" s="29"/>
      <c r="M224" s="29"/>
      <c r="N224" s="29"/>
      <c r="O224" s="29"/>
      <c r="P224" s="29"/>
      <c r="Q224" s="29"/>
      <c r="S224" s="29"/>
      <c r="T224" s="29"/>
      <c r="U224" s="72"/>
      <c r="V224" s="29"/>
      <c r="W224" s="29"/>
      <c r="X224" s="29"/>
      <c r="Y224" s="29"/>
      <c r="Z224" s="29"/>
      <c r="AA224" s="29"/>
      <c r="AB224" s="29"/>
      <c r="AC224" s="29"/>
      <c r="AE224" s="29"/>
      <c r="AF224" s="29"/>
    </row>
    <row r="225" spans="1:46" x14ac:dyDescent="0.45">
      <c r="A225" s="29"/>
      <c r="B225" s="29"/>
      <c r="C225" s="29"/>
      <c r="D225" s="29"/>
      <c r="E225" s="29"/>
      <c r="F225" s="29"/>
      <c r="G225" s="29"/>
      <c r="H225" s="29"/>
      <c r="I225" s="29"/>
      <c r="J225" s="29"/>
      <c r="K225" s="29"/>
      <c r="L225" s="29"/>
      <c r="M225" s="29"/>
      <c r="N225" s="29"/>
      <c r="O225" s="29"/>
      <c r="P225" s="29"/>
      <c r="Q225" s="29"/>
      <c r="S225" s="77" t="s">
        <v>332</v>
      </c>
      <c r="T225" s="77" t="s">
        <v>333</v>
      </c>
      <c r="U225" s="78" t="s">
        <v>371</v>
      </c>
      <c r="V225" s="29"/>
      <c r="W225" s="29"/>
      <c r="X225" s="29"/>
      <c r="Y225" s="29"/>
      <c r="Z225" s="29"/>
      <c r="AA225" s="29"/>
      <c r="AB225" s="29"/>
      <c r="AC225" s="29"/>
      <c r="AD225" s="29"/>
      <c r="AE225" s="29"/>
      <c r="AF225" s="29"/>
    </row>
    <row r="226" spans="1:46" x14ac:dyDescent="0.45">
      <c r="A226" s="29"/>
      <c r="B226" s="29"/>
      <c r="C226" s="29"/>
      <c r="D226" s="29"/>
      <c r="E226" s="29"/>
      <c r="F226" s="29"/>
      <c r="G226" s="29"/>
      <c r="H226" s="29"/>
      <c r="I226" s="29"/>
      <c r="J226" s="29"/>
      <c r="K226" s="29"/>
      <c r="L226" s="29"/>
      <c r="M226" s="29"/>
      <c r="N226" s="29"/>
      <c r="O226" s="29"/>
      <c r="P226" s="29"/>
      <c r="Q226" s="29"/>
      <c r="R226" s="29"/>
      <c r="S226" s="57"/>
      <c r="T226" s="57"/>
      <c r="U226" s="73"/>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45">
      <c r="A227" s="29"/>
      <c r="B227" s="29"/>
      <c r="C227" s="29"/>
      <c r="D227" s="29"/>
      <c r="E227" s="29"/>
      <c r="F227" s="29"/>
      <c r="G227" s="29"/>
      <c r="H227" s="29"/>
      <c r="I227" s="29"/>
      <c r="J227" s="29"/>
      <c r="K227" s="29"/>
      <c r="L227" s="29"/>
      <c r="M227" s="29"/>
      <c r="N227" s="29"/>
      <c r="O227" s="29"/>
      <c r="P227" s="29"/>
      <c r="Q227" s="29"/>
      <c r="R227" s="29"/>
      <c r="S227" s="57" t="s">
        <v>335</v>
      </c>
      <c r="T227" s="57">
        <v>12</v>
      </c>
      <c r="U227" s="73" t="s">
        <v>97</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45">
      <c r="A228" s="29"/>
      <c r="B228" s="29"/>
      <c r="C228" s="29"/>
      <c r="D228" s="29"/>
      <c r="E228" s="29"/>
      <c r="F228" s="29"/>
      <c r="G228" s="29"/>
      <c r="H228" s="29"/>
      <c r="I228" s="29"/>
      <c r="J228" s="29"/>
      <c r="K228" s="29"/>
      <c r="L228" s="29"/>
      <c r="M228" s="29"/>
      <c r="N228" s="29"/>
      <c r="O228" s="29"/>
      <c r="P228" s="29"/>
      <c r="Q228" s="29"/>
      <c r="R228" s="29"/>
      <c r="S228" s="57" t="s">
        <v>338</v>
      </c>
      <c r="T228" s="57">
        <v>100</v>
      </c>
      <c r="U228" s="73" t="s">
        <v>97</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45">
      <c r="A230" s="47" t="s">
        <v>169</v>
      </c>
      <c r="B230" s="2" t="s">
        <v>427</v>
      </c>
      <c r="C230" s="47" t="s">
        <v>168</v>
      </c>
      <c r="D230" s="2" t="s">
        <v>374</v>
      </c>
      <c r="E230" s="29"/>
      <c r="F230" s="29"/>
      <c r="G230" s="29"/>
      <c r="H230" s="29"/>
      <c r="I230" s="29"/>
      <c r="J230" s="29"/>
      <c r="K230" s="29"/>
      <c r="L230" s="29"/>
      <c r="M230" s="29"/>
      <c r="N230" s="29"/>
      <c r="O230" s="29"/>
      <c r="P230" s="29"/>
      <c r="AO230" t="s">
        <v>170</v>
      </c>
      <c r="AP230" t="s">
        <v>428</v>
      </c>
      <c r="AQ230" t="s">
        <v>169</v>
      </c>
      <c r="AR230" t="s">
        <v>427</v>
      </c>
      <c r="AS230" t="s">
        <v>168</v>
      </c>
      <c r="AT230" t="s">
        <v>374</v>
      </c>
    </row>
    <row r="231" spans="1:46" x14ac:dyDescent="0.45">
      <c r="A231" s="35" t="s">
        <v>0</v>
      </c>
      <c r="B231" s="36"/>
      <c r="C231" s="18"/>
      <c r="D231" s="18"/>
      <c r="E231" s="18"/>
      <c r="F231" s="18"/>
      <c r="G231" s="18"/>
      <c r="H231" s="18"/>
      <c r="I231" s="18"/>
      <c r="J231" s="18"/>
      <c r="K231" s="18"/>
      <c r="L231" s="18"/>
      <c r="M231" s="18"/>
      <c r="N231" s="18"/>
      <c r="O231" s="18"/>
      <c r="P231" s="18"/>
      <c r="Q231" s="47" t="s">
        <v>329</v>
      </c>
    </row>
    <row r="232" spans="1:46" x14ac:dyDescent="0.45">
      <c r="A232" s="20">
        <v>1</v>
      </c>
      <c r="B232" s="20"/>
      <c r="C232" s="20"/>
      <c r="D232" s="20"/>
      <c r="E232" s="20"/>
      <c r="F232" s="20"/>
      <c r="G232" s="20"/>
      <c r="H232" s="20"/>
      <c r="I232" s="20"/>
      <c r="J232" s="20"/>
      <c r="K232" s="20"/>
      <c r="L232" s="20"/>
      <c r="M232" s="20"/>
      <c r="N232" s="20"/>
      <c r="O232" s="20"/>
      <c r="P232" s="20"/>
      <c r="Q232" s="20"/>
      <c r="S232" s="76" t="s">
        <v>40</v>
      </c>
      <c r="T232" s="3"/>
      <c r="U232" s="5"/>
    </row>
    <row r="233" spans="1:46" x14ac:dyDescent="0.45">
      <c r="A233" s="20">
        <v>2</v>
      </c>
      <c r="B233" s="20"/>
      <c r="C233" s="20"/>
      <c r="D233" s="20"/>
      <c r="E233" s="20"/>
      <c r="F233" s="20"/>
      <c r="G233" s="20"/>
      <c r="H233" s="20"/>
      <c r="I233" s="20"/>
      <c r="J233" s="20"/>
      <c r="K233" s="20"/>
      <c r="L233" s="20"/>
      <c r="M233" s="20"/>
      <c r="N233" s="20"/>
      <c r="O233" s="20"/>
      <c r="P233" s="20"/>
      <c r="Q233" s="20"/>
      <c r="S233" s="5" t="s">
        <v>122</v>
      </c>
      <c r="T233" s="5">
        <v>0.2</v>
      </c>
      <c r="U233" s="5" t="s">
        <v>44</v>
      </c>
    </row>
    <row r="234" spans="1:46" x14ac:dyDescent="0.45">
      <c r="A234" s="20">
        <v>3</v>
      </c>
      <c r="B234" s="20"/>
      <c r="C234" s="20"/>
      <c r="D234" s="20"/>
      <c r="E234" s="20"/>
      <c r="F234" s="20"/>
      <c r="G234" s="20"/>
      <c r="H234" s="20"/>
      <c r="I234" s="20"/>
      <c r="J234" s="20"/>
      <c r="K234" s="20"/>
      <c r="L234" s="20"/>
      <c r="M234" s="20"/>
      <c r="N234" s="20"/>
      <c r="O234" s="20"/>
      <c r="P234" s="20"/>
      <c r="Q234" s="20"/>
      <c r="S234" s="5" t="s">
        <v>95</v>
      </c>
      <c r="T234" s="5">
        <v>1</v>
      </c>
      <c r="U234" s="5" t="s">
        <v>97</v>
      </c>
    </row>
    <row r="235" spans="1:46" x14ac:dyDescent="0.45">
      <c r="A235" s="20">
        <v>4</v>
      </c>
      <c r="B235" s="20"/>
      <c r="C235" s="20"/>
      <c r="D235" s="20"/>
      <c r="E235" s="20"/>
      <c r="F235" s="20"/>
      <c r="G235" s="20"/>
      <c r="H235" s="20"/>
      <c r="I235" s="20"/>
      <c r="J235" s="20"/>
      <c r="K235" s="20"/>
      <c r="L235" s="20"/>
      <c r="M235" s="20"/>
      <c r="N235" s="20"/>
      <c r="O235" s="20"/>
      <c r="P235" s="20"/>
      <c r="Q235" s="20"/>
      <c r="S235" s="5" t="s">
        <v>96</v>
      </c>
      <c r="T235" s="5">
        <v>1</v>
      </c>
      <c r="U235" s="5" t="s">
        <v>97</v>
      </c>
    </row>
    <row r="236" spans="1:46" x14ac:dyDescent="0.45">
      <c r="A236" s="20">
        <v>5</v>
      </c>
      <c r="B236" s="20"/>
      <c r="C236" s="20"/>
      <c r="D236" s="20"/>
      <c r="E236" s="20"/>
      <c r="F236" s="20"/>
      <c r="G236" s="20"/>
      <c r="H236" s="20"/>
      <c r="I236" s="20"/>
      <c r="J236" s="20"/>
      <c r="K236" s="20"/>
      <c r="L236" s="20"/>
      <c r="M236" s="20"/>
      <c r="N236" s="20"/>
      <c r="O236" s="20"/>
      <c r="P236" s="20"/>
      <c r="Q236" s="20"/>
      <c r="S236" s="5" t="s">
        <v>233</v>
      </c>
      <c r="T236" s="5" t="s">
        <v>244</v>
      </c>
      <c r="U236" s="5"/>
    </row>
    <row r="237" spans="1:46" x14ac:dyDescent="0.45">
      <c r="A237" s="20">
        <v>6</v>
      </c>
      <c r="B237" s="20"/>
      <c r="C237" s="20"/>
      <c r="D237" s="20"/>
      <c r="E237" s="20"/>
      <c r="F237" s="20"/>
      <c r="G237" s="20"/>
      <c r="H237" s="20"/>
      <c r="I237" s="20"/>
      <c r="J237" s="20"/>
      <c r="K237" s="20"/>
      <c r="L237" s="20"/>
      <c r="M237" s="20"/>
      <c r="N237" s="20"/>
      <c r="O237" s="20"/>
      <c r="P237" s="20"/>
      <c r="Q237" s="20"/>
      <c r="S237" s="5" t="s">
        <v>234</v>
      </c>
      <c r="T237" s="5">
        <v>0</v>
      </c>
      <c r="U237" s="5"/>
    </row>
    <row r="238" spans="1:46" x14ac:dyDescent="0.45">
      <c r="A238" s="20">
        <v>7</v>
      </c>
      <c r="B238" s="20"/>
      <c r="C238" s="20"/>
      <c r="D238" s="20"/>
      <c r="E238" s="20"/>
      <c r="F238" s="20"/>
      <c r="G238" s="20"/>
      <c r="H238" s="20"/>
      <c r="I238" s="20"/>
      <c r="J238" s="20"/>
      <c r="K238" s="20"/>
      <c r="L238" s="20"/>
      <c r="M238" s="20"/>
      <c r="N238" s="20"/>
      <c r="O238" s="20"/>
      <c r="P238" s="20"/>
      <c r="Q238" s="20"/>
      <c r="S238" s="46"/>
      <c r="T238" s="46"/>
      <c r="U238" s="71"/>
    </row>
    <row r="239" spans="1:46" x14ac:dyDescent="0.45">
      <c r="A239" s="20">
        <v>8</v>
      </c>
      <c r="B239" s="20"/>
      <c r="C239" s="20"/>
      <c r="D239" s="20"/>
      <c r="E239" s="20"/>
      <c r="F239" s="20"/>
      <c r="G239" s="20"/>
      <c r="H239" s="20"/>
      <c r="I239" s="20"/>
      <c r="J239" s="20"/>
      <c r="K239" s="20"/>
      <c r="L239" s="20"/>
      <c r="M239" s="20"/>
      <c r="N239" s="20"/>
      <c r="O239" s="20"/>
      <c r="P239" s="20"/>
      <c r="Q239" s="20"/>
      <c r="S239" s="5" t="s">
        <v>378</v>
      </c>
      <c r="T239" s="5">
        <v>60</v>
      </c>
      <c r="U239" s="5" t="s">
        <v>43</v>
      </c>
      <c r="V239" s="1"/>
    </row>
    <row r="240" spans="1:46" x14ac:dyDescent="0.45">
      <c r="A240" s="20">
        <v>9</v>
      </c>
      <c r="B240" s="20"/>
      <c r="C240" s="20"/>
      <c r="D240" s="20"/>
      <c r="E240" s="20"/>
      <c r="F240" s="20"/>
      <c r="G240" s="20"/>
      <c r="H240" s="20"/>
      <c r="I240" s="20"/>
      <c r="J240" s="20"/>
      <c r="K240" s="20"/>
      <c r="L240" s="20"/>
      <c r="M240" s="20"/>
      <c r="N240" s="20"/>
      <c r="O240" s="20"/>
      <c r="P240" s="20"/>
      <c r="Q240" s="20"/>
      <c r="S240" s="5" t="s">
        <v>93</v>
      </c>
      <c r="T240" s="5">
        <v>1000</v>
      </c>
      <c r="U240" s="5" t="s">
        <v>45</v>
      </c>
    </row>
    <row r="241" spans="1:22" x14ac:dyDescent="0.45">
      <c r="A241" s="20">
        <v>10</v>
      </c>
      <c r="B241" s="20"/>
      <c r="C241" s="20"/>
      <c r="D241" s="20"/>
      <c r="E241" s="20"/>
      <c r="F241" s="20"/>
      <c r="G241" s="20"/>
      <c r="H241" s="20"/>
      <c r="I241" s="20"/>
      <c r="J241" s="20"/>
      <c r="K241" s="20"/>
      <c r="L241" s="20"/>
      <c r="M241" s="20"/>
      <c r="N241" s="20"/>
      <c r="O241" s="20"/>
      <c r="P241" s="20"/>
      <c r="Q241" s="20"/>
      <c r="S241" s="5" t="s">
        <v>94</v>
      </c>
      <c r="T241" s="5">
        <v>9000</v>
      </c>
      <c r="U241" s="5" t="s">
        <v>45</v>
      </c>
    </row>
    <row r="242" spans="1:22" x14ac:dyDescent="0.4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4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45">
      <c r="A244" s="29"/>
      <c r="B244" s="29"/>
      <c r="C244" s="29"/>
      <c r="D244" s="29"/>
      <c r="E244" s="29"/>
      <c r="F244" s="29"/>
      <c r="G244" s="29"/>
      <c r="H244" s="29"/>
      <c r="I244" s="29"/>
      <c r="J244" s="29"/>
      <c r="K244" s="29"/>
      <c r="L244" s="29"/>
      <c r="M244" s="29"/>
      <c r="N244" s="29"/>
      <c r="O244" s="29"/>
      <c r="P244" s="29"/>
      <c r="Q244" s="29"/>
      <c r="S244" s="5" t="s">
        <v>46</v>
      </c>
      <c r="T244" s="5" t="s">
        <v>89</v>
      </c>
      <c r="U244" s="5" t="s">
        <v>98</v>
      </c>
    </row>
    <row r="245" spans="1:22" x14ac:dyDescent="0.45">
      <c r="A245" s="29"/>
      <c r="B245" s="29"/>
      <c r="C245" s="29"/>
      <c r="D245" s="29"/>
      <c r="E245" s="29"/>
      <c r="F245" s="29"/>
      <c r="G245" s="29"/>
      <c r="H245" s="29"/>
      <c r="I245" s="29"/>
      <c r="J245" s="29"/>
      <c r="K245" s="29"/>
      <c r="L245" s="29"/>
      <c r="M245" s="29"/>
      <c r="N245" s="29"/>
      <c r="O245" s="29"/>
      <c r="P245" s="29"/>
      <c r="Q245" s="29"/>
      <c r="S245" s="5" t="s">
        <v>132</v>
      </c>
      <c r="T245" s="5" t="s">
        <v>193</v>
      </c>
      <c r="U245" s="5"/>
    </row>
    <row r="246" spans="1:22" x14ac:dyDescent="0.45">
      <c r="A246" s="29"/>
      <c r="B246" s="29"/>
      <c r="C246" s="29"/>
      <c r="D246" s="29"/>
      <c r="E246" s="29"/>
      <c r="F246" s="29"/>
      <c r="G246" s="29"/>
      <c r="H246" s="29"/>
      <c r="I246" s="29"/>
      <c r="J246" s="29"/>
      <c r="K246" s="29"/>
      <c r="L246" s="29"/>
      <c r="M246" s="29"/>
      <c r="N246" s="29"/>
      <c r="O246" s="29"/>
      <c r="P246" s="29"/>
      <c r="Q246" s="29"/>
      <c r="S246" s="5" t="s">
        <v>192</v>
      </c>
      <c r="T246" s="5" t="s">
        <v>163</v>
      </c>
      <c r="U246" s="5"/>
    </row>
    <row r="247" spans="1:22" x14ac:dyDescent="0.45">
      <c r="A247" s="29"/>
      <c r="B247" s="29"/>
      <c r="C247" s="29"/>
      <c r="D247" s="29"/>
      <c r="E247" s="29"/>
      <c r="F247" s="29"/>
      <c r="G247" s="29"/>
      <c r="H247" s="29"/>
      <c r="I247" s="29"/>
      <c r="J247" s="29"/>
      <c r="K247" s="29"/>
      <c r="L247" s="29"/>
      <c r="M247" s="29"/>
      <c r="N247" s="29"/>
      <c r="O247" s="29"/>
      <c r="P247" s="29"/>
      <c r="Q247" s="29"/>
      <c r="S247" s="5" t="s">
        <v>207</v>
      </c>
      <c r="T247" s="5">
        <v>20</v>
      </c>
      <c r="U247" s="5" t="s">
        <v>44</v>
      </c>
    </row>
    <row r="248" spans="1:22" x14ac:dyDescent="0.45">
      <c r="A248" s="29"/>
      <c r="B248" s="29"/>
      <c r="C248" s="29"/>
      <c r="D248" s="29"/>
      <c r="E248" s="29"/>
      <c r="F248" s="29"/>
      <c r="G248" s="29"/>
      <c r="H248" s="29"/>
      <c r="I248" s="29"/>
      <c r="J248" s="29"/>
      <c r="K248" s="29"/>
      <c r="L248" s="29"/>
      <c r="M248" s="29"/>
      <c r="N248" s="29"/>
      <c r="O248" s="29"/>
      <c r="P248" s="29"/>
      <c r="Q248" s="29"/>
      <c r="S248" s="5" t="s">
        <v>208</v>
      </c>
      <c r="T248" s="5">
        <v>10</v>
      </c>
      <c r="U248" s="5" t="s">
        <v>44</v>
      </c>
    </row>
    <row r="249" spans="1:22" x14ac:dyDescent="0.45">
      <c r="A249" s="29"/>
      <c r="B249" s="29"/>
      <c r="C249" s="29"/>
      <c r="D249" s="29"/>
      <c r="E249" s="29"/>
      <c r="F249" s="29"/>
      <c r="G249" s="29"/>
      <c r="H249" s="29"/>
      <c r="I249" s="29"/>
      <c r="J249" s="29"/>
      <c r="K249" s="29"/>
      <c r="L249" s="29"/>
      <c r="M249" s="29"/>
      <c r="N249" s="29"/>
      <c r="O249" s="29"/>
      <c r="P249" s="29"/>
      <c r="Q249" s="29"/>
      <c r="S249" s="5" t="s">
        <v>209</v>
      </c>
      <c r="T249" s="5">
        <v>0.3</v>
      </c>
      <c r="U249" s="5" t="s">
        <v>44</v>
      </c>
    </row>
    <row r="250" spans="1:22" x14ac:dyDescent="0.45">
      <c r="A250" s="29"/>
      <c r="B250" s="29"/>
      <c r="C250" s="29"/>
      <c r="D250" s="29"/>
      <c r="E250" s="29"/>
      <c r="F250" s="29"/>
      <c r="G250" s="29"/>
      <c r="H250" s="29"/>
      <c r="I250" s="29"/>
      <c r="J250" s="29"/>
      <c r="K250" s="29"/>
      <c r="L250" s="29"/>
      <c r="M250" s="29"/>
      <c r="N250" s="29"/>
      <c r="O250" s="29"/>
      <c r="P250" s="29"/>
      <c r="Q250" s="29"/>
      <c r="S250" s="59" t="s">
        <v>379</v>
      </c>
      <c r="T250" s="5">
        <v>0</v>
      </c>
      <c r="U250" s="5"/>
      <c r="V250" s="1"/>
    </row>
    <row r="251" spans="1:22" x14ac:dyDescent="0.45">
      <c r="A251" s="29"/>
      <c r="B251" s="29"/>
      <c r="C251" s="29"/>
      <c r="D251" s="29"/>
      <c r="E251" s="29"/>
      <c r="F251" s="29"/>
      <c r="G251" s="29"/>
      <c r="H251" s="29"/>
      <c r="I251" s="29"/>
      <c r="J251" s="29"/>
      <c r="K251" s="29"/>
      <c r="L251" s="29"/>
      <c r="M251" s="29"/>
      <c r="N251" s="29"/>
      <c r="O251" s="29"/>
      <c r="P251" s="29"/>
      <c r="Q251" s="29"/>
      <c r="S251" s="5" t="s">
        <v>194</v>
      </c>
      <c r="T251" s="5" t="s">
        <v>206</v>
      </c>
      <c r="U251" s="5" t="s">
        <v>198</v>
      </c>
    </row>
    <row r="252" spans="1:22" x14ac:dyDescent="0.45">
      <c r="A252" s="29"/>
      <c r="B252" s="29"/>
      <c r="C252" s="29"/>
      <c r="D252" s="29"/>
      <c r="E252" s="29"/>
      <c r="F252" s="29"/>
      <c r="G252" s="29"/>
      <c r="H252" s="29"/>
      <c r="I252" s="29"/>
      <c r="J252" s="29"/>
      <c r="K252" s="29"/>
      <c r="L252" s="29"/>
      <c r="M252" s="29"/>
      <c r="N252" s="29"/>
      <c r="O252" s="29"/>
      <c r="P252" s="29"/>
      <c r="Q252" s="29"/>
      <c r="S252" s="5" t="s">
        <v>199</v>
      </c>
      <c r="T252" s="5">
        <v>5</v>
      </c>
      <c r="U252" s="5" t="s">
        <v>44</v>
      </c>
      <c r="V252" s="1"/>
    </row>
    <row r="253" spans="1:22" x14ac:dyDescent="0.45">
      <c r="A253" s="29"/>
      <c r="B253" s="29"/>
      <c r="C253" s="29"/>
      <c r="D253" s="29"/>
      <c r="E253" s="29"/>
      <c r="F253" s="29"/>
      <c r="G253" s="29"/>
      <c r="H253" s="29"/>
      <c r="I253" s="29"/>
      <c r="J253" s="29"/>
      <c r="K253" s="29"/>
      <c r="L253" s="29"/>
      <c r="M253" s="29"/>
      <c r="N253" s="29"/>
      <c r="O253" s="29"/>
      <c r="P253" s="29"/>
      <c r="Q253" s="29"/>
      <c r="S253" s="5" t="s">
        <v>200</v>
      </c>
      <c r="T253" s="5">
        <v>7</v>
      </c>
      <c r="U253" s="5" t="s">
        <v>98</v>
      </c>
    </row>
    <row r="254" spans="1:22" x14ac:dyDescent="0.45">
      <c r="A254" s="29"/>
      <c r="B254" s="29"/>
      <c r="C254" s="29"/>
      <c r="D254" s="29"/>
      <c r="E254" s="29"/>
      <c r="F254" s="29"/>
      <c r="G254" s="29"/>
      <c r="H254" s="29"/>
      <c r="I254" s="29"/>
      <c r="J254" s="29"/>
      <c r="K254" s="29"/>
      <c r="L254" s="29"/>
      <c r="M254" s="29"/>
      <c r="N254" s="29"/>
      <c r="O254" s="29"/>
      <c r="P254" s="29"/>
      <c r="Q254" s="29"/>
      <c r="S254" s="5" t="s">
        <v>201</v>
      </c>
      <c r="T254" s="5">
        <v>2500</v>
      </c>
      <c r="U254" s="5" t="s">
        <v>45</v>
      </c>
    </row>
    <row r="255" spans="1:22" x14ac:dyDescent="0.45">
      <c r="A255" s="29"/>
      <c r="B255" s="29"/>
      <c r="C255" s="29"/>
      <c r="D255" s="29"/>
      <c r="E255" s="29"/>
      <c r="F255" s="29"/>
      <c r="G255" s="29"/>
      <c r="H255" s="29"/>
      <c r="I255" s="29"/>
      <c r="J255" s="29"/>
      <c r="K255" s="29"/>
      <c r="L255" s="29"/>
      <c r="M255" s="29"/>
      <c r="N255" s="29"/>
      <c r="O255" s="29"/>
      <c r="P255" s="29"/>
      <c r="Q255" s="29"/>
      <c r="S255" s="5" t="s">
        <v>202</v>
      </c>
      <c r="T255" s="5">
        <f>-T253</f>
        <v>-7</v>
      </c>
      <c r="U255" s="5" t="s">
        <v>98</v>
      </c>
    </row>
    <row r="256" spans="1:22" x14ac:dyDescent="0.45">
      <c r="A256" s="29"/>
      <c r="B256" s="29"/>
      <c r="C256" s="29"/>
      <c r="D256" s="29"/>
      <c r="E256" s="29"/>
      <c r="F256" s="29"/>
      <c r="G256" s="29"/>
      <c r="H256" s="29"/>
      <c r="I256" s="29"/>
      <c r="J256" s="29"/>
      <c r="K256" s="29"/>
      <c r="L256" s="29"/>
      <c r="M256" s="29"/>
      <c r="N256" s="29"/>
      <c r="O256" s="29"/>
      <c r="P256" s="29"/>
      <c r="Q256" s="29"/>
      <c r="S256" s="3" t="s">
        <v>203</v>
      </c>
      <c r="T256" s="3">
        <f>T254</f>
        <v>2500</v>
      </c>
      <c r="U256" s="5" t="s">
        <v>45</v>
      </c>
    </row>
    <row r="257" spans="1:40" x14ac:dyDescent="0.45">
      <c r="A257" s="29"/>
      <c r="B257" s="29"/>
      <c r="C257" s="29"/>
      <c r="D257" s="29"/>
      <c r="E257" s="29"/>
      <c r="F257" s="29"/>
      <c r="G257" s="29"/>
      <c r="H257" s="29"/>
      <c r="I257" s="29"/>
      <c r="J257" s="29"/>
      <c r="K257" s="29"/>
      <c r="L257" s="29"/>
      <c r="M257" s="29"/>
      <c r="N257" s="29"/>
      <c r="O257" s="29"/>
      <c r="P257" s="29"/>
      <c r="Q257" s="29"/>
      <c r="S257" s="3" t="s">
        <v>204</v>
      </c>
      <c r="T257" s="3">
        <v>0.2</v>
      </c>
      <c r="U257" s="5" t="s">
        <v>44</v>
      </c>
    </row>
    <row r="258" spans="1:40" x14ac:dyDescent="0.45">
      <c r="A258" s="29"/>
      <c r="B258" s="29"/>
      <c r="C258" s="29"/>
      <c r="D258" s="29"/>
      <c r="E258" s="29"/>
      <c r="F258" s="29"/>
      <c r="G258" s="29"/>
      <c r="H258" s="29"/>
      <c r="I258" s="29"/>
      <c r="J258" s="29"/>
      <c r="K258" s="29"/>
      <c r="L258" s="29"/>
      <c r="M258" s="29"/>
      <c r="N258" s="29"/>
      <c r="O258" s="29"/>
      <c r="P258" s="29"/>
      <c r="Q258" s="29"/>
      <c r="S258" s="3" t="s">
        <v>205</v>
      </c>
      <c r="T258" s="3">
        <v>7500</v>
      </c>
      <c r="U258" s="5" t="s">
        <v>45</v>
      </c>
    </row>
    <row r="259" spans="1:40" x14ac:dyDescent="0.45">
      <c r="A259" s="29"/>
      <c r="B259" s="29"/>
      <c r="C259" s="29"/>
      <c r="D259" s="29"/>
      <c r="E259" s="29"/>
      <c r="F259" s="29"/>
      <c r="G259" s="29"/>
      <c r="H259" s="29"/>
      <c r="I259" s="29"/>
      <c r="J259" s="29"/>
      <c r="K259" s="29"/>
      <c r="L259" s="29"/>
      <c r="M259" s="29"/>
      <c r="N259" s="29"/>
      <c r="O259" s="29"/>
      <c r="P259" s="29"/>
      <c r="Q259" s="29"/>
      <c r="S259" s="29"/>
      <c r="T259" s="29"/>
      <c r="U259" s="72"/>
      <c r="V259" s="29"/>
      <c r="W259" s="29"/>
      <c r="X259" s="29"/>
      <c r="Y259" s="29"/>
      <c r="Z259" s="29"/>
      <c r="AA259" s="29"/>
      <c r="AB259" s="29"/>
      <c r="AC259" s="29"/>
      <c r="AE259" s="29"/>
      <c r="AF259" s="29"/>
    </row>
    <row r="260" spans="1:40" x14ac:dyDescent="0.45">
      <c r="A260" s="29"/>
      <c r="B260" s="29"/>
      <c r="C260" s="29"/>
      <c r="D260" s="29"/>
      <c r="E260" s="29"/>
      <c r="F260" s="29"/>
      <c r="G260" s="29"/>
      <c r="H260" s="29"/>
      <c r="I260" s="29"/>
      <c r="J260" s="29"/>
      <c r="K260" s="29"/>
      <c r="L260" s="29"/>
      <c r="M260" s="29"/>
      <c r="N260" s="29"/>
      <c r="O260" s="29"/>
      <c r="P260" s="29"/>
      <c r="Q260" s="29"/>
      <c r="S260" s="77" t="s">
        <v>332</v>
      </c>
      <c r="T260" s="77" t="s">
        <v>333</v>
      </c>
      <c r="U260" s="78" t="s">
        <v>371</v>
      </c>
      <c r="V260" s="29"/>
      <c r="W260" s="29"/>
      <c r="X260" s="29"/>
      <c r="Y260" s="29"/>
      <c r="Z260" s="29"/>
      <c r="AA260" s="29"/>
      <c r="AB260" s="29"/>
      <c r="AC260" s="29"/>
      <c r="AD260" s="29"/>
      <c r="AE260" s="29"/>
      <c r="AF260" s="29"/>
    </row>
    <row r="261" spans="1:40" x14ac:dyDescent="0.45">
      <c r="A261" s="29"/>
      <c r="B261" s="29"/>
      <c r="C261" s="29"/>
      <c r="D261" s="29"/>
      <c r="E261" s="29"/>
      <c r="F261" s="29"/>
      <c r="G261" s="29"/>
      <c r="H261" s="29"/>
      <c r="I261" s="29"/>
      <c r="J261" s="29"/>
      <c r="K261" s="29"/>
      <c r="L261" s="29"/>
      <c r="M261" s="29"/>
      <c r="N261" s="29"/>
      <c r="O261" s="29"/>
      <c r="P261" s="29"/>
      <c r="Q261" s="29"/>
      <c r="R261" s="29"/>
      <c r="S261" s="57"/>
      <c r="T261" s="57"/>
      <c r="U261" s="73"/>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45">
      <c r="A262" s="29"/>
      <c r="B262" s="29"/>
      <c r="C262" s="29"/>
      <c r="D262" s="29"/>
      <c r="E262" s="29"/>
      <c r="F262" s="29"/>
      <c r="G262" s="29"/>
      <c r="H262" s="29"/>
      <c r="I262" s="29"/>
      <c r="J262" s="29"/>
      <c r="K262" s="29"/>
      <c r="L262" s="29"/>
      <c r="M262" s="29"/>
      <c r="N262" s="29"/>
      <c r="O262" s="29"/>
      <c r="P262" s="29"/>
      <c r="Q262" s="29"/>
      <c r="R262" s="29"/>
      <c r="S262" s="57" t="s">
        <v>349</v>
      </c>
      <c r="T262" s="57">
        <v>0.2</v>
      </c>
      <c r="U262" s="73"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45">
      <c r="A263" s="29"/>
      <c r="B263" s="29"/>
      <c r="C263" s="29"/>
      <c r="D263" s="29"/>
      <c r="E263" s="29"/>
      <c r="F263" s="29"/>
      <c r="G263" s="29"/>
      <c r="H263" s="29"/>
      <c r="I263" s="29"/>
      <c r="J263" s="29"/>
      <c r="K263" s="29"/>
      <c r="L263" s="29"/>
      <c r="M263" s="29"/>
      <c r="N263" s="29"/>
      <c r="O263" s="29"/>
      <c r="P263" s="29"/>
      <c r="Q263" s="29"/>
      <c r="R263" s="29"/>
      <c r="S263" s="57" t="s">
        <v>347</v>
      </c>
      <c r="T263" s="57">
        <v>1</v>
      </c>
      <c r="U263" s="73"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45">
      <c r="A264" s="29"/>
      <c r="B264" s="29"/>
      <c r="C264" s="29"/>
      <c r="D264" s="29"/>
      <c r="E264" s="29"/>
      <c r="F264" s="29"/>
      <c r="G264" s="29"/>
      <c r="H264" s="29"/>
      <c r="I264" s="29"/>
      <c r="J264" s="29"/>
      <c r="K264" s="29"/>
      <c r="L264" s="29"/>
      <c r="M264" s="29"/>
      <c r="N264" s="29"/>
      <c r="O264" s="29"/>
      <c r="P264" s="29"/>
      <c r="Q264" s="29"/>
      <c r="R264" s="29"/>
      <c r="S264" s="57" t="s">
        <v>348</v>
      </c>
      <c r="T264" s="57">
        <v>0.5</v>
      </c>
      <c r="U264" s="73"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328125" defaultRowHeight="16.350000000000001" customHeight="1" x14ac:dyDescent="0.45"/>
  <cols>
    <col min="1" max="2" width="23" style="53" customWidth="1"/>
    <col min="3" max="3" width="19" style="49" customWidth="1"/>
    <col min="4" max="4" width="9.1328125" style="49"/>
    <col min="5" max="5" width="16.73046875" style="49" customWidth="1"/>
    <col min="6" max="16384" width="9.1328125" style="49"/>
  </cols>
  <sheetData>
    <row r="1" spans="1:17" ht="16.350000000000001" customHeight="1" x14ac:dyDescent="0.45">
      <c r="A1" s="53" t="s">
        <v>306</v>
      </c>
      <c r="B1" s="53" t="s">
        <v>309</v>
      </c>
      <c r="C1" s="53" t="s">
        <v>307</v>
      </c>
      <c r="D1" s="49" t="s">
        <v>308</v>
      </c>
    </row>
    <row r="2" spans="1:17" ht="16.350000000000001" customHeight="1" x14ac:dyDescent="0.45">
      <c r="Q2" s="54"/>
    </row>
    <row r="3" spans="1:17" ht="16.350000000000001" customHeight="1" x14ac:dyDescent="0.45">
      <c r="P3" s="54"/>
    </row>
    <row r="4" spans="1:17" ht="16.350000000000001" customHeight="1" x14ac:dyDescent="0.45">
      <c r="Q4" s="54"/>
    </row>
    <row r="5" spans="1:17" ht="16.350000000000001" customHeight="1" x14ac:dyDescent="0.45">
      <c r="P5" s="54"/>
      <c r="Q5" s="54"/>
    </row>
    <row r="6" spans="1:17" ht="16.350000000000001" customHeight="1" x14ac:dyDescent="0.45">
      <c r="Q6" s="54"/>
    </row>
    <row r="7" spans="1:17" ht="16.350000000000001" customHeight="1" x14ac:dyDescent="0.45">
      <c r="P7" s="54"/>
      <c r="Q7" s="54"/>
    </row>
    <row r="8" spans="1:17" ht="16.350000000000001" customHeight="1" x14ac:dyDescent="0.45">
      <c r="Q8" s="54"/>
    </row>
    <row r="9" spans="1:17" ht="16.350000000000001" customHeight="1" x14ac:dyDescent="0.45">
      <c r="P9" s="54"/>
      <c r="Q9" s="54"/>
    </row>
    <row r="10" spans="1:17" ht="16.350000000000001" customHeight="1" x14ac:dyDescent="0.45">
      <c r="Q10" s="54"/>
    </row>
    <row r="11" spans="1:17" ht="16.350000000000001" customHeight="1" x14ac:dyDescent="0.45">
      <c r="P11" s="54"/>
      <c r="Q11" s="54"/>
    </row>
    <row r="12" spans="1:17" ht="16.350000000000001" customHeight="1" x14ac:dyDescent="0.45">
      <c r="Q12" s="54"/>
    </row>
    <row r="13" spans="1:17" ht="16.350000000000001" customHeight="1" x14ac:dyDescent="0.45">
      <c r="P13" s="54"/>
      <c r="Q13" s="54"/>
    </row>
    <row r="14" spans="1:17" ht="16.350000000000001" customHeight="1" x14ac:dyDescent="0.45">
      <c r="Q14" s="54"/>
    </row>
    <row r="15" spans="1:17" ht="16.350000000000001" customHeight="1" x14ac:dyDescent="0.45">
      <c r="P15" s="54"/>
      <c r="Q15" s="54"/>
    </row>
    <row r="16" spans="1:17" ht="16.350000000000001" customHeight="1" x14ac:dyDescent="0.45">
      <c r="O16" s="54"/>
      <c r="Q16" s="54"/>
    </row>
    <row r="17" spans="15:17" ht="16.350000000000001" customHeight="1" x14ac:dyDescent="0.45">
      <c r="P17" s="54"/>
      <c r="Q17" s="54"/>
    </row>
    <row r="18" spans="15:17" ht="16.350000000000001" customHeight="1" x14ac:dyDescent="0.45">
      <c r="Q18" s="54"/>
    </row>
    <row r="19" spans="15:17" ht="16.350000000000001" customHeight="1" x14ac:dyDescent="0.45">
      <c r="P19" s="54"/>
      <c r="Q19" s="54"/>
    </row>
    <row r="20" spans="15:17" ht="16.350000000000001" customHeight="1" x14ac:dyDescent="0.45">
      <c r="Q20" s="54"/>
    </row>
    <row r="21" spans="15:17" ht="16.350000000000001" customHeight="1" x14ac:dyDescent="0.45">
      <c r="Q21" s="54"/>
    </row>
    <row r="22" spans="15:17" ht="16.350000000000001" customHeight="1" x14ac:dyDescent="0.45">
      <c r="Q22" s="54"/>
    </row>
    <row r="23" spans="15:17" ht="16.350000000000001" customHeight="1" x14ac:dyDescent="0.45">
      <c r="Q23" s="54"/>
    </row>
    <row r="24" spans="15:17" ht="16.350000000000001" customHeight="1" x14ac:dyDescent="0.45">
      <c r="Q24" s="54"/>
    </row>
    <row r="25" spans="15:17" ht="16.350000000000001" customHeight="1" x14ac:dyDescent="0.45">
      <c r="Q25" s="54"/>
    </row>
    <row r="26" spans="15:17" ht="16.350000000000001" customHeight="1" x14ac:dyDescent="0.45">
      <c r="Q26" s="54"/>
    </row>
    <row r="27" spans="15:17" ht="16.350000000000001" customHeight="1" x14ac:dyDescent="0.45">
      <c r="O27" s="54"/>
      <c r="Q27" s="54"/>
    </row>
    <row r="28" spans="15:17" ht="16.350000000000001" customHeight="1" x14ac:dyDescent="0.45">
      <c r="Q28" s="54"/>
    </row>
    <row r="29" spans="15:17" ht="16.350000000000001" customHeight="1" x14ac:dyDescent="0.45">
      <c r="Q29" s="54"/>
    </row>
    <row r="30" spans="15:17" ht="16.350000000000001" customHeight="1" x14ac:dyDescent="0.45">
      <c r="Q30" s="54"/>
    </row>
    <row r="31" spans="15:17" ht="16.350000000000001" customHeight="1" x14ac:dyDescent="0.45">
      <c r="Q31" s="54"/>
    </row>
    <row r="32" spans="15:17" ht="16.350000000000001" customHeight="1" x14ac:dyDescent="0.45">
      <c r="Q32" s="54"/>
    </row>
    <row r="33" spans="15:17" ht="16.350000000000001" customHeight="1" x14ac:dyDescent="0.45">
      <c r="Q33" s="54"/>
    </row>
    <row r="34" spans="15:17" ht="16.350000000000001" customHeight="1" x14ac:dyDescent="0.45">
      <c r="Q34" s="54"/>
    </row>
    <row r="35" spans="15:17" ht="16.350000000000001" customHeight="1" x14ac:dyDescent="0.45">
      <c r="Q35" s="54"/>
    </row>
    <row r="36" spans="15:17" ht="16.350000000000001" customHeight="1" x14ac:dyDescent="0.45">
      <c r="Q36" s="54"/>
    </row>
    <row r="37" spans="15:17" ht="16.350000000000001" customHeight="1" x14ac:dyDescent="0.45">
      <c r="Q37" s="54"/>
    </row>
    <row r="38" spans="15:17" ht="16.350000000000001" customHeight="1" x14ac:dyDescent="0.45">
      <c r="O38" s="54"/>
      <c r="Q38" s="54"/>
    </row>
    <row r="39" spans="15:17" ht="16.350000000000001" customHeight="1" x14ac:dyDescent="0.45">
      <c r="Q39" s="54"/>
    </row>
    <row r="40" spans="15:17" ht="16.350000000000001" customHeight="1" x14ac:dyDescent="0.45">
      <c r="Q40" s="54"/>
    </row>
    <row r="41" spans="15:17" ht="16.350000000000001" customHeight="1" x14ac:dyDescent="0.45">
      <c r="Q41" s="54"/>
    </row>
    <row r="42" spans="15:17" ht="16.350000000000001" customHeight="1" x14ac:dyDescent="0.45">
      <c r="Q42" s="54"/>
    </row>
    <row r="43" spans="15:17" ht="16.350000000000001" customHeight="1" x14ac:dyDescent="0.45">
      <c r="Q43" s="54"/>
    </row>
    <row r="44" spans="15:17" ht="16.350000000000001" customHeight="1" x14ac:dyDescent="0.45">
      <c r="Q44" s="54"/>
    </row>
    <row r="45" spans="15:17" ht="16.350000000000001" customHeight="1" x14ac:dyDescent="0.45">
      <c r="Q45" s="54"/>
    </row>
    <row r="46" spans="15:17" ht="16.350000000000001" customHeight="1" x14ac:dyDescent="0.45">
      <c r="Q46" s="54"/>
    </row>
    <row r="47" spans="15:17" ht="16.350000000000001" customHeight="1" x14ac:dyDescent="0.45">
      <c r="Q47" s="54"/>
    </row>
    <row r="49" spans="15:17" ht="16.350000000000001" customHeight="1" x14ac:dyDescent="0.45">
      <c r="O49" s="54"/>
      <c r="Q49" s="54"/>
    </row>
    <row r="50" spans="15:17" ht="16.350000000000001" customHeight="1" x14ac:dyDescent="0.45">
      <c r="Q50" s="54"/>
    </row>
    <row r="51" spans="15:17" ht="16.350000000000001" customHeight="1" x14ac:dyDescent="0.45">
      <c r="Q51" s="54"/>
    </row>
    <row r="52" spans="15:17" ht="16.350000000000001" customHeight="1" x14ac:dyDescent="0.45">
      <c r="Q52" s="54"/>
    </row>
    <row r="53" spans="15:17" ht="16.350000000000001" customHeight="1" x14ac:dyDescent="0.45">
      <c r="Q53" s="54"/>
    </row>
    <row r="54" spans="15:17" ht="16.350000000000001" customHeight="1" x14ac:dyDescent="0.45">
      <c r="Q54" s="54"/>
    </row>
    <row r="55" spans="15:17" ht="16.350000000000001" customHeight="1" x14ac:dyDescent="0.45">
      <c r="Q55" s="54"/>
    </row>
    <row r="56" spans="15:17" ht="16.350000000000001" customHeight="1" x14ac:dyDescent="0.45">
      <c r="Q56" s="54"/>
    </row>
    <row r="57" spans="15:17" ht="16.350000000000001" customHeight="1" x14ac:dyDescent="0.45">
      <c r="Q57" s="54"/>
    </row>
    <row r="58" spans="15:17" ht="16.350000000000001" customHeight="1" x14ac:dyDescent="0.45">
      <c r="Q58" s="54"/>
    </row>
    <row r="59" spans="15:17" ht="16.350000000000001" customHeight="1" x14ac:dyDescent="0.45">
      <c r="Q59" s="54"/>
    </row>
    <row r="60" spans="15:17" ht="16.350000000000001" customHeight="1" x14ac:dyDescent="0.45">
      <c r="O60" s="54"/>
      <c r="Q60" s="54"/>
    </row>
    <row r="61" spans="15:17" ht="16.350000000000001" customHeight="1" x14ac:dyDescent="0.45">
      <c r="Q61" s="54"/>
    </row>
    <row r="62" spans="15:17" ht="16.350000000000001" customHeight="1" x14ac:dyDescent="0.45">
      <c r="Q62" s="54"/>
    </row>
    <row r="63" spans="15:17" ht="16.350000000000001" customHeight="1" x14ac:dyDescent="0.45">
      <c r="Q63" s="54"/>
    </row>
    <row r="64" spans="15:17" ht="16.350000000000001" customHeight="1" x14ac:dyDescent="0.45">
      <c r="Q64" s="54"/>
    </row>
    <row r="65" spans="15:17" ht="16.350000000000001" customHeight="1" x14ac:dyDescent="0.45">
      <c r="Q65" s="54"/>
    </row>
    <row r="67" spans="15:17" ht="16.350000000000001" customHeight="1" x14ac:dyDescent="0.45">
      <c r="Q67" s="54"/>
    </row>
    <row r="69" spans="15:17" ht="16.350000000000001" customHeight="1" x14ac:dyDescent="0.45">
      <c r="Q69" s="54"/>
    </row>
    <row r="70" spans="15:17" ht="16.350000000000001" customHeight="1" x14ac:dyDescent="0.45">
      <c r="Q70" s="54"/>
    </row>
    <row r="71" spans="15:17" ht="16.350000000000001" customHeight="1" x14ac:dyDescent="0.45">
      <c r="O71" s="54"/>
      <c r="Q71" s="54"/>
    </row>
    <row r="82" spans="15:15" ht="16.350000000000001" customHeight="1" x14ac:dyDescent="0.45">
      <c r="O82" s="54"/>
    </row>
    <row r="93" spans="15:15" ht="16.350000000000001" customHeight="1" x14ac:dyDescent="0.45">
      <c r="O93" s="54"/>
    </row>
    <row r="104" spans="15:15" ht="16.350000000000001" customHeight="1" x14ac:dyDescent="0.45">
      <c r="O104" s="54"/>
    </row>
    <row r="115" spans="15:15" ht="16.350000000000001" customHeight="1" x14ac:dyDescent="0.45">
      <c r="O115" s="54"/>
    </row>
    <row r="126" spans="15:15" ht="16.350000000000001" customHeight="1" x14ac:dyDescent="0.45">
      <c r="O126" s="54"/>
    </row>
    <row r="137" spans="15:15" ht="16.350000000000001" customHeight="1" x14ac:dyDescent="0.45">
      <c r="O137" s="54"/>
    </row>
    <row r="148" spans="15:15" ht="16.350000000000001" customHeight="1" x14ac:dyDescent="0.45">
      <c r="O148" s="54"/>
    </row>
    <row r="159" spans="15:15" ht="16.350000000000001" customHeight="1" x14ac:dyDescent="0.45">
      <c r="O159" s="54"/>
    </row>
    <row r="170" spans="15:15" ht="16.350000000000001" customHeight="1" x14ac:dyDescent="0.45">
      <c r="O170" s="54"/>
    </row>
    <row r="181" spans="15:15" ht="16.350000000000001" customHeight="1" x14ac:dyDescent="0.45">
      <c r="O181" s="54"/>
    </row>
    <row r="192" spans="15:15" ht="16.350000000000001" customHeight="1" x14ac:dyDescent="0.45">
      <c r="O192" s="54"/>
    </row>
    <row r="203" spans="15:15" ht="16.350000000000001" customHeight="1" x14ac:dyDescent="0.45">
      <c r="O203" s="54"/>
    </row>
    <row r="214" spans="15:15" ht="16.350000000000001" customHeight="1" x14ac:dyDescent="0.45">
      <c r="O214" s="54"/>
    </row>
    <row r="225" spans="15:15" ht="16.350000000000001" customHeight="1" x14ac:dyDescent="0.45">
      <c r="O225" s="54"/>
    </row>
    <row r="236" spans="15:15" ht="16.350000000000001" customHeight="1" x14ac:dyDescent="0.45">
      <c r="O236" s="54"/>
    </row>
    <row r="247" spans="15:15" ht="16.350000000000001" customHeight="1" x14ac:dyDescent="0.45">
      <c r="O247" s="54"/>
    </row>
    <row r="258" spans="15:15" ht="16.350000000000001" customHeight="1" x14ac:dyDescent="0.45">
      <c r="O258" s="54"/>
    </row>
    <row r="269" spans="15:15" ht="16.350000000000001" customHeight="1" x14ac:dyDescent="0.45">
      <c r="O269" s="54"/>
    </row>
    <row r="280" spans="15:15" ht="16.350000000000001" customHeight="1" x14ac:dyDescent="0.45">
      <c r="O280" s="54"/>
    </row>
    <row r="291" spans="15:15" ht="16.350000000000001" customHeight="1" x14ac:dyDescent="0.45">
      <c r="O291" s="54"/>
    </row>
    <row r="302" spans="15:15" ht="16.350000000000001" customHeight="1" x14ac:dyDescent="0.45">
      <c r="O302" s="54"/>
    </row>
    <row r="313" spans="15:15" ht="16.350000000000001" customHeight="1" x14ac:dyDescent="0.45">
      <c r="O313" s="54"/>
    </row>
    <row r="324" spans="15:15" ht="16.350000000000001" customHeight="1" x14ac:dyDescent="0.45">
      <c r="O324" s="54"/>
    </row>
    <row r="335" spans="15:15" ht="16.350000000000001" customHeight="1" x14ac:dyDescent="0.45">
      <c r="O335" s="54"/>
    </row>
    <row r="346" spans="15:15" ht="16.350000000000001" customHeight="1" x14ac:dyDescent="0.45">
      <c r="O346" s="54"/>
    </row>
    <row r="357" spans="15:15" ht="16.350000000000001" customHeight="1" x14ac:dyDescent="0.45">
      <c r="O357" s="54"/>
    </row>
    <row r="368" spans="15:15" ht="16.350000000000001" customHeight="1" x14ac:dyDescent="0.45">
      <c r="O368" s="54"/>
    </row>
    <row r="379" spans="15:15" ht="16.350000000000001" customHeight="1" x14ac:dyDescent="0.45">
      <c r="O379" s="54"/>
    </row>
    <row r="390" spans="15:15" ht="16.350000000000001" customHeight="1" x14ac:dyDescent="0.45">
      <c r="O390" s="54"/>
    </row>
    <row r="401" spans="15:15" ht="16.350000000000001" customHeight="1" x14ac:dyDescent="0.45">
      <c r="O401" s="54"/>
    </row>
    <row r="412" spans="15:15" ht="16.350000000000001" customHeight="1" x14ac:dyDescent="0.45">
      <c r="O412" s="54"/>
    </row>
    <row r="423" spans="15:15" ht="16.350000000000001" customHeight="1" x14ac:dyDescent="0.45">
      <c r="O423" s="54"/>
    </row>
    <row r="434" spans="15:15" ht="16.350000000000001" customHeight="1" x14ac:dyDescent="0.45">
      <c r="O434" s="54"/>
    </row>
    <row r="445" spans="15:15" ht="16.350000000000001" customHeight="1" x14ac:dyDescent="0.45">
      <c r="O445" s="54"/>
    </row>
    <row r="456" spans="15:15" ht="16.350000000000001" customHeight="1" x14ac:dyDescent="0.45">
      <c r="O456" s="54"/>
    </row>
    <row r="467" spans="15:15" ht="16.350000000000001" customHeight="1" x14ac:dyDescent="0.45">
      <c r="O467" s="54"/>
    </row>
    <row r="478" spans="15:15" ht="16.350000000000001" customHeight="1" x14ac:dyDescent="0.45">
      <c r="O478" s="54"/>
    </row>
    <row r="489" spans="15:15" ht="16.350000000000001" customHeight="1" x14ac:dyDescent="0.45">
      <c r="O489" s="54"/>
    </row>
    <row r="500" spans="15:15" ht="16.350000000000001" customHeight="1" x14ac:dyDescent="0.45">
      <c r="O500" s="54"/>
    </row>
    <row r="511" spans="15:15" ht="16.350000000000001" customHeight="1" x14ac:dyDescent="0.45">
      <c r="O511" s="54"/>
    </row>
    <row r="522" spans="15:15" ht="16.350000000000001" customHeight="1" x14ac:dyDescent="0.45">
      <c r="O522" s="54"/>
    </row>
    <row r="533" spans="15:15" ht="16.350000000000001" customHeight="1" x14ac:dyDescent="0.45">
      <c r="O533" s="54"/>
    </row>
    <row r="544" spans="15:15" ht="16.350000000000001" customHeight="1" x14ac:dyDescent="0.45">
      <c r="O544" s="54"/>
    </row>
    <row r="555" spans="15:15" ht="16.350000000000001" customHeight="1" x14ac:dyDescent="0.45">
      <c r="O555" s="54"/>
    </row>
    <row r="566" spans="15:15" ht="16.350000000000001" customHeight="1" x14ac:dyDescent="0.45">
      <c r="O566" s="54"/>
    </row>
    <row r="577" spans="15:15" ht="16.350000000000001" customHeight="1" x14ac:dyDescent="0.45">
      <c r="O577" s="54"/>
    </row>
    <row r="588" spans="15:15" ht="16.350000000000001" customHeight="1" x14ac:dyDescent="0.45">
      <c r="O588" s="54"/>
    </row>
    <row r="599" spans="15:15" ht="16.350000000000001" customHeight="1" x14ac:dyDescent="0.45">
      <c r="O599" s="54"/>
    </row>
    <row r="610" spans="15:15" ht="16.350000000000001" customHeight="1" x14ac:dyDescent="0.45">
      <c r="O610" s="54"/>
    </row>
    <row r="621" spans="15:15" ht="16.350000000000001" customHeight="1" x14ac:dyDescent="0.45">
      <c r="O621" s="54"/>
    </row>
    <row r="632" spans="15:15" ht="16.350000000000001" customHeight="1" x14ac:dyDescent="0.45">
      <c r="O632" s="54"/>
    </row>
    <row r="643" spans="15:15" ht="16.350000000000001" customHeight="1" x14ac:dyDescent="0.45">
      <c r="O643" s="54"/>
    </row>
    <row r="654" spans="15:15" ht="16.350000000000001" customHeight="1" x14ac:dyDescent="0.45">
      <c r="O654" s="54"/>
    </row>
    <row r="665" spans="15:15" ht="16.350000000000001" customHeight="1" x14ac:dyDescent="0.45">
      <c r="O665" s="54"/>
    </row>
    <row r="676" spans="15:15" ht="16.350000000000001" customHeight="1" x14ac:dyDescent="0.45">
      <c r="O676" s="54"/>
    </row>
    <row r="687" spans="15:15" ht="16.350000000000001" customHeight="1" x14ac:dyDescent="0.45">
      <c r="O687" s="54"/>
    </row>
    <row r="698" spans="15:15" ht="16.350000000000001" customHeight="1" x14ac:dyDescent="0.45">
      <c r="O698" s="54"/>
    </row>
    <row r="709" spans="15:15" ht="16.350000000000001" customHeight="1" x14ac:dyDescent="0.45">
      <c r="O709" s="54"/>
    </row>
    <row r="720" spans="15:15" ht="16.350000000000001" customHeight="1" x14ac:dyDescent="0.45">
      <c r="O720" s="54"/>
    </row>
    <row r="731" spans="15:15" ht="16.350000000000001" customHeight="1" x14ac:dyDescent="0.45">
      <c r="O731" s="54"/>
    </row>
    <row r="742" spans="15:15" ht="16.350000000000001" customHeight="1" x14ac:dyDescent="0.45">
      <c r="O742" s="54"/>
    </row>
    <row r="753" spans="15:15" ht="16.350000000000001" customHeight="1" x14ac:dyDescent="0.45">
      <c r="O753" s="54"/>
    </row>
    <row r="764" spans="15:15" ht="16.350000000000001" customHeight="1" x14ac:dyDescent="0.45">
      <c r="O764" s="54"/>
    </row>
    <row r="775" spans="15:15" ht="16.350000000000001" customHeight="1" x14ac:dyDescent="0.45">
      <c r="O775" s="54"/>
    </row>
    <row r="786" spans="15:15" ht="16.350000000000001" customHeight="1" x14ac:dyDescent="0.45">
      <c r="O786" s="54"/>
    </row>
    <row r="797" spans="15:15" ht="16.350000000000001" customHeight="1" x14ac:dyDescent="0.45">
      <c r="O797" s="54"/>
    </row>
    <row r="808" spans="15:15" ht="16.350000000000001" customHeight="1" x14ac:dyDescent="0.45">
      <c r="O808" s="54"/>
    </row>
    <row r="819" spans="15:15" ht="16.350000000000001" customHeight="1" x14ac:dyDescent="0.45">
      <c r="O819" s="54"/>
    </row>
    <row r="830" spans="15:15" ht="16.350000000000001" customHeight="1" x14ac:dyDescent="0.45">
      <c r="O830" s="54"/>
    </row>
    <row r="841" spans="15:15" ht="16.350000000000001" customHeight="1" x14ac:dyDescent="0.45">
      <c r="O841" s="54"/>
    </row>
    <row r="852" spans="15:15" ht="16.350000000000001" customHeight="1" x14ac:dyDescent="0.45">
      <c r="O852" s="54"/>
    </row>
    <row r="863" spans="15:15" ht="16.350000000000001" customHeight="1" x14ac:dyDescent="0.45">
      <c r="O863" s="5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O27" sqref="A1:XFD1048576"/>
    </sheetView>
  </sheetViews>
  <sheetFormatPr defaultRowHeight="14.25" x14ac:dyDescent="0.45"/>
  <cols>
    <col min="4" max="4" width="20.86328125" customWidth="1"/>
    <col min="7" max="7" width="29.86328125" customWidth="1"/>
  </cols>
  <sheetData>
    <row r="1" spans="1:21" ht="30.75" x14ac:dyDescent="0.9">
      <c r="B1" s="150" t="s">
        <v>381</v>
      </c>
    </row>
    <row r="2" spans="1:21" x14ac:dyDescent="0.45">
      <c r="B2" s="151" t="s">
        <v>185</v>
      </c>
      <c r="C2" s="1" t="s">
        <v>18</v>
      </c>
      <c r="D2" s="1" t="s">
        <v>3</v>
      </c>
      <c r="E2" s="1" t="s">
        <v>4</v>
      </c>
      <c r="F2" s="1" t="s">
        <v>33</v>
      </c>
      <c r="G2" s="1" t="s">
        <v>5</v>
      </c>
      <c r="H2" s="1" t="s">
        <v>6</v>
      </c>
      <c r="I2" s="1" t="s">
        <v>34</v>
      </c>
      <c r="J2" s="1" t="s">
        <v>84</v>
      </c>
      <c r="K2" s="1" t="s">
        <v>15</v>
      </c>
      <c r="L2" s="1" t="s">
        <v>11</v>
      </c>
      <c r="M2" s="1" t="s">
        <v>221</v>
      </c>
      <c r="N2" s="1"/>
      <c r="O2" s="1"/>
      <c r="P2" s="1"/>
      <c r="Q2" s="1"/>
    </row>
    <row r="3" spans="1:21" ht="14.45" customHeight="1" x14ac:dyDescent="0.45">
      <c r="B3" s="151" t="s">
        <v>186</v>
      </c>
      <c r="C3" s="1" t="s">
        <v>2</v>
      </c>
      <c r="D3" s="1" t="s">
        <v>80</v>
      </c>
      <c r="E3" s="1" t="s">
        <v>81</v>
      </c>
      <c r="F3" s="1" t="s">
        <v>83</v>
      </c>
      <c r="G3" s="1" t="s">
        <v>76</v>
      </c>
      <c r="H3" s="1" t="s">
        <v>33</v>
      </c>
      <c r="I3" s="1" t="s">
        <v>653</v>
      </c>
      <c r="J3" s="1" t="s">
        <v>79</v>
      </c>
      <c r="K3" s="1" t="s">
        <v>34</v>
      </c>
      <c r="L3" s="1" t="s">
        <v>84</v>
      </c>
      <c r="M3" s="1" t="s">
        <v>15</v>
      </c>
      <c r="N3" s="1" t="s">
        <v>11</v>
      </c>
      <c r="O3" s="1" t="s">
        <v>221</v>
      </c>
      <c r="P3" s="1"/>
      <c r="Q3" s="1"/>
    </row>
    <row r="4" spans="1:21" ht="14.45" customHeight="1" x14ac:dyDescent="0.45">
      <c r="B4" s="1" t="s">
        <v>212</v>
      </c>
      <c r="C4" s="1" t="s">
        <v>117</v>
      </c>
      <c r="D4" s="1" t="s">
        <v>118</v>
      </c>
      <c r="E4" s="1" t="s">
        <v>119</v>
      </c>
      <c r="F4" s="1" t="s">
        <v>120</v>
      </c>
      <c r="G4" s="1" t="s">
        <v>121</v>
      </c>
      <c r="H4" s="1" t="s">
        <v>137</v>
      </c>
      <c r="I4" s="1" t="s">
        <v>15</v>
      </c>
      <c r="J4" s="1" t="s">
        <v>11</v>
      </c>
      <c r="K4" s="1" t="s">
        <v>285</v>
      </c>
      <c r="L4" s="1" t="s">
        <v>231</v>
      </c>
      <c r="M4" s="1" t="s">
        <v>232</v>
      </c>
      <c r="O4" s="152" t="s">
        <v>190</v>
      </c>
      <c r="P4" s="153" t="s">
        <v>290</v>
      </c>
      <c r="Q4" s="153"/>
      <c r="R4" s="153"/>
      <c r="S4" s="153"/>
      <c r="T4" s="153"/>
    </row>
    <row r="5" spans="1:21" ht="14.45" customHeight="1" x14ac:dyDescent="0.45">
      <c r="B5" s="1" t="s">
        <v>213</v>
      </c>
      <c r="C5" s="1" t="s">
        <v>80</v>
      </c>
      <c r="D5" s="1" t="s">
        <v>81</v>
      </c>
      <c r="E5" s="1" t="s">
        <v>215</v>
      </c>
      <c r="F5" s="1" t="s">
        <v>214</v>
      </c>
      <c r="G5" s="1" t="s">
        <v>119</v>
      </c>
      <c r="H5" s="1" t="s">
        <v>120</v>
      </c>
      <c r="I5" s="1" t="s">
        <v>121</v>
      </c>
      <c r="J5" s="1" t="s">
        <v>137</v>
      </c>
      <c r="K5" s="1" t="s">
        <v>15</v>
      </c>
      <c r="L5" s="1" t="s">
        <v>11</v>
      </c>
      <c r="M5" s="1" t="s">
        <v>285</v>
      </c>
      <c r="N5" s="1" t="s">
        <v>231</v>
      </c>
      <c r="O5" s="1" t="s">
        <v>429</v>
      </c>
      <c r="P5" s="153" t="s">
        <v>291</v>
      </c>
      <c r="Q5" s="153"/>
      <c r="R5" s="153"/>
      <c r="S5" s="153"/>
      <c r="T5" s="153"/>
      <c r="U5" s="153"/>
    </row>
    <row r="6" spans="1:21" x14ac:dyDescent="0.45">
      <c r="B6" s="1" t="s">
        <v>10</v>
      </c>
      <c r="C6" s="1" t="s">
        <v>80</v>
      </c>
      <c r="D6" s="1" t="s">
        <v>81</v>
      </c>
      <c r="E6" s="1" t="s">
        <v>82</v>
      </c>
      <c r="F6" s="1" t="s">
        <v>14</v>
      </c>
      <c r="G6" s="1" t="s">
        <v>76</v>
      </c>
      <c r="H6" s="1" t="s">
        <v>78</v>
      </c>
      <c r="I6" s="1" t="s">
        <v>16</v>
      </c>
      <c r="J6" s="1" t="s">
        <v>73</v>
      </c>
      <c r="K6" s="1" t="s">
        <v>15</v>
      </c>
      <c r="L6" s="1" t="s">
        <v>11</v>
      </c>
      <c r="M6" s="1" t="s">
        <v>313</v>
      </c>
      <c r="N6" s="1"/>
      <c r="O6" s="1"/>
      <c r="P6" s="1"/>
      <c r="Q6" s="1"/>
    </row>
    <row r="7" spans="1:21" x14ac:dyDescent="0.45">
      <c r="B7" s="1" t="s">
        <v>9</v>
      </c>
      <c r="C7" s="1" t="s">
        <v>3</v>
      </c>
      <c r="D7" s="1" t="s">
        <v>4</v>
      </c>
      <c r="E7" s="1" t="s">
        <v>5</v>
      </c>
      <c r="F7" s="1" t="s">
        <v>6</v>
      </c>
      <c r="G7" s="1" t="s">
        <v>37</v>
      </c>
      <c r="H7" s="1" t="s">
        <v>16</v>
      </c>
      <c r="I7" s="1" t="s">
        <v>15</v>
      </c>
      <c r="J7" s="1" t="s">
        <v>11</v>
      </c>
      <c r="K7" s="1" t="s">
        <v>313</v>
      </c>
      <c r="L7" s="1"/>
      <c r="M7" s="1"/>
      <c r="N7" s="1"/>
      <c r="O7" s="1"/>
      <c r="P7" s="1"/>
      <c r="Q7" s="1"/>
    </row>
    <row r="8" spans="1:21" x14ac:dyDescent="0.45">
      <c r="B8" s="1" t="s">
        <v>72</v>
      </c>
      <c r="C8" s="1" t="s">
        <v>80</v>
      </c>
      <c r="D8" s="1" t="s">
        <v>81</v>
      </c>
      <c r="E8" s="1" t="s">
        <v>82</v>
      </c>
      <c r="F8" s="1" t="s">
        <v>75</v>
      </c>
      <c r="G8" s="1" t="s">
        <v>77</v>
      </c>
      <c r="H8" s="1" t="s">
        <v>16</v>
      </c>
      <c r="I8" s="1" t="s">
        <v>74</v>
      </c>
      <c r="J8" s="1" t="s">
        <v>15</v>
      </c>
      <c r="K8" s="1" t="s">
        <v>11</v>
      </c>
      <c r="L8" s="1" t="s">
        <v>313</v>
      </c>
      <c r="M8" s="1"/>
      <c r="N8" s="1"/>
      <c r="O8" s="1"/>
    </row>
    <row r="9" spans="1:21" x14ac:dyDescent="0.45">
      <c r="B9" s="1" t="s">
        <v>134</v>
      </c>
    </row>
    <row r="10" spans="1:21" x14ac:dyDescent="0.45">
      <c r="B10" s="1" t="s">
        <v>56</v>
      </c>
      <c r="C10" s="1" t="s">
        <v>59</v>
      </c>
      <c r="D10" s="1" t="s">
        <v>85</v>
      </c>
      <c r="E10" s="1" t="s">
        <v>86</v>
      </c>
      <c r="F10" s="1" t="s">
        <v>87</v>
      </c>
      <c r="G10" s="1" t="s">
        <v>21</v>
      </c>
      <c r="I10" s="1"/>
    </row>
    <row r="11" spans="1:21" x14ac:dyDescent="0.45">
      <c r="B11" s="1" t="s">
        <v>55</v>
      </c>
      <c r="C11" s="1" t="s">
        <v>59</v>
      </c>
      <c r="D11" s="1" t="s">
        <v>80</v>
      </c>
      <c r="E11" s="1" t="s">
        <v>81</v>
      </c>
      <c r="F11" s="1" t="s">
        <v>60</v>
      </c>
      <c r="G11" s="1" t="s">
        <v>57</v>
      </c>
      <c r="H11" s="1" t="s">
        <v>21</v>
      </c>
    </row>
    <row r="12" spans="1:21" x14ac:dyDescent="0.45">
      <c r="A12" s="109"/>
      <c r="B12" s="1" t="s">
        <v>187</v>
      </c>
      <c r="C12" s="1" t="s">
        <v>12</v>
      </c>
      <c r="D12" s="1" t="s">
        <v>160</v>
      </c>
      <c r="E12" s="1" t="s">
        <v>3</v>
      </c>
      <c r="F12" s="1" t="s">
        <v>4</v>
      </c>
      <c r="G12" s="1" t="s">
        <v>5</v>
      </c>
      <c r="H12" s="1" t="s">
        <v>6</v>
      </c>
    </row>
    <row r="13" spans="1:21" x14ac:dyDescent="0.45">
      <c r="B13" s="1" t="s">
        <v>188</v>
      </c>
      <c r="C13" s="1" t="s">
        <v>12</v>
      </c>
      <c r="D13" s="1" t="s">
        <v>2</v>
      </c>
      <c r="E13" s="1" t="s">
        <v>7</v>
      </c>
      <c r="F13" s="1" t="s">
        <v>8</v>
      </c>
      <c r="G13" s="1" t="s">
        <v>161</v>
      </c>
      <c r="H13" s="1"/>
      <c r="I13" s="1" t="s">
        <v>654</v>
      </c>
    </row>
    <row r="14" spans="1:21" x14ac:dyDescent="0.45">
      <c r="B14" s="1" t="s">
        <v>216</v>
      </c>
      <c r="C14" s="1" t="s">
        <v>12</v>
      </c>
      <c r="D14" s="1" t="s">
        <v>37</v>
      </c>
      <c r="E14" s="1" t="s">
        <v>217</v>
      </c>
      <c r="F14" s="1"/>
      <c r="G14" s="50" t="s">
        <v>218</v>
      </c>
      <c r="H14" s="1"/>
      <c r="I14" s="1"/>
    </row>
    <row r="15" spans="1:21" x14ac:dyDescent="0.45">
      <c r="B15" s="1" t="s">
        <v>191</v>
      </c>
      <c r="C15" s="1" t="s">
        <v>12</v>
      </c>
      <c r="D15" s="1" t="s">
        <v>32</v>
      </c>
      <c r="E15" s="1" t="s">
        <v>21</v>
      </c>
      <c r="F15" s="1" t="s">
        <v>13</v>
      </c>
      <c r="J15" s="50" t="s">
        <v>88</v>
      </c>
    </row>
    <row r="16" spans="1:21" x14ac:dyDescent="0.45">
      <c r="B16" s="1" t="s">
        <v>305</v>
      </c>
      <c r="C16" s="1" t="s">
        <v>12</v>
      </c>
      <c r="D16" s="1" t="s">
        <v>21</v>
      </c>
      <c r="E16" s="1" t="s">
        <v>85</v>
      </c>
      <c r="F16" s="1" t="s">
        <v>86</v>
      </c>
      <c r="G16" s="1" t="s">
        <v>87</v>
      </c>
      <c r="H16" s="1" t="s">
        <v>80</v>
      </c>
      <c r="I16" s="1" t="s">
        <v>81</v>
      </c>
      <c r="J16" s="1" t="s">
        <v>60</v>
      </c>
      <c r="K16" s="1" t="s">
        <v>304</v>
      </c>
      <c r="M16" s="154" t="s">
        <v>303</v>
      </c>
      <c r="N16" s="155" t="s">
        <v>302</v>
      </c>
      <c r="O16" s="110" t="s">
        <v>976</v>
      </c>
      <c r="P16" s="110" t="s">
        <v>977</v>
      </c>
    </row>
    <row r="17" spans="1:30" x14ac:dyDescent="0.45">
      <c r="B17" s="1" t="s">
        <v>134</v>
      </c>
      <c r="C17" s="1"/>
      <c r="D17" s="1"/>
      <c r="E17" s="1"/>
      <c r="F17" s="1"/>
      <c r="G17" s="1"/>
      <c r="H17" s="1"/>
      <c r="I17" s="1"/>
    </row>
    <row r="18" spans="1:30" x14ac:dyDescent="0.45">
      <c r="B18" s="1" t="s">
        <v>39</v>
      </c>
      <c r="C18" s="1" t="s">
        <v>68</v>
      </c>
      <c r="D18" s="1" t="s">
        <v>195</v>
      </c>
      <c r="E18" s="1" t="s">
        <v>197</v>
      </c>
      <c r="F18" s="1" t="s">
        <v>196</v>
      </c>
      <c r="G18" s="1"/>
      <c r="H18" s="1"/>
      <c r="I18" s="1"/>
      <c r="J18" s="1"/>
      <c r="K18" s="1"/>
      <c r="L18" s="1"/>
      <c r="M18" s="1"/>
      <c r="N18" s="1"/>
      <c r="O18" s="1"/>
      <c r="P18" s="1"/>
      <c r="Q18" s="1"/>
    </row>
    <row r="19" spans="1:30" x14ac:dyDescent="0.45">
      <c r="B19" s="1" t="s">
        <v>50</v>
      </c>
      <c r="C19" s="1" t="s">
        <v>51</v>
      </c>
      <c r="D19" s="1" t="s">
        <v>52</v>
      </c>
      <c r="E19" s="1" t="s">
        <v>51</v>
      </c>
      <c r="F19" s="1" t="s">
        <v>52</v>
      </c>
      <c r="G19" s="1" t="s">
        <v>51</v>
      </c>
      <c r="H19" s="1" t="s">
        <v>52</v>
      </c>
      <c r="I19" s="1" t="s">
        <v>51</v>
      </c>
      <c r="J19" s="1" t="s">
        <v>52</v>
      </c>
      <c r="K19" s="1" t="s">
        <v>51</v>
      </c>
      <c r="L19" s="1" t="s">
        <v>52</v>
      </c>
      <c r="O19" s="109" t="s">
        <v>380</v>
      </c>
    </row>
    <row r="20" spans="1:30" s="109" customFormat="1" ht="54.75" customHeight="1" x14ac:dyDescent="0.45">
      <c r="B20" s="109" t="s">
        <v>134</v>
      </c>
    </row>
    <row r="21" spans="1:30" ht="132.6" customHeight="1" x14ac:dyDescent="0.45">
      <c r="B21" s="110" t="s">
        <v>53</v>
      </c>
      <c r="C21" s="156" t="s">
        <v>182</v>
      </c>
      <c r="D21" s="156" t="s">
        <v>183</v>
      </c>
      <c r="E21" s="156" t="s">
        <v>184</v>
      </c>
      <c r="F21" s="157" t="s">
        <v>54</v>
      </c>
      <c r="G21" s="158" t="s">
        <v>181</v>
      </c>
      <c r="H21" s="158"/>
      <c r="I21" s="158"/>
      <c r="J21" s="158"/>
      <c r="K21" s="158"/>
      <c r="L21" s="158"/>
      <c r="M21" s="158"/>
      <c r="N21" s="158"/>
      <c r="O21" s="158"/>
      <c r="P21" s="110"/>
      <c r="Q21" s="110"/>
      <c r="R21" s="110"/>
      <c r="S21" s="110"/>
    </row>
    <row r="22" spans="1:30" x14ac:dyDescent="0.45">
      <c r="B22" s="110"/>
      <c r="C22" s="110"/>
      <c r="D22" s="110"/>
      <c r="E22" s="110"/>
      <c r="F22" s="110"/>
      <c r="G22" s="110"/>
      <c r="H22" s="110"/>
      <c r="I22" s="110"/>
      <c r="J22" s="110"/>
      <c r="K22" s="110"/>
      <c r="L22" s="110"/>
      <c r="M22" s="110"/>
      <c r="N22" s="110"/>
      <c r="O22" s="110"/>
      <c r="P22" s="110"/>
      <c r="Q22" s="110"/>
      <c r="R22" s="110"/>
      <c r="S22" s="110"/>
    </row>
    <row r="23" spans="1:30" x14ac:dyDescent="0.45">
      <c r="B23" s="110"/>
      <c r="C23" s="110"/>
      <c r="D23" s="110"/>
      <c r="E23" s="110"/>
      <c r="F23" s="110"/>
      <c r="G23" s="110" t="s">
        <v>15</v>
      </c>
      <c r="H23" s="110" t="s">
        <v>27</v>
      </c>
      <c r="J23" s="111" t="s">
        <v>224</v>
      </c>
      <c r="K23" s="110"/>
      <c r="L23" s="110"/>
      <c r="M23" s="110"/>
      <c r="Q23" s="110"/>
      <c r="R23" s="110"/>
      <c r="S23" s="110"/>
    </row>
    <row r="24" spans="1:30" x14ac:dyDescent="0.45">
      <c r="B24" s="110"/>
      <c r="C24" s="110"/>
      <c r="D24" s="110"/>
      <c r="E24" s="110"/>
      <c r="F24" s="110"/>
      <c r="G24" s="110" t="s">
        <v>24</v>
      </c>
      <c r="H24" s="110" t="s">
        <v>27</v>
      </c>
      <c r="J24" s="111" t="s">
        <v>225</v>
      </c>
      <c r="K24" s="110"/>
      <c r="L24" s="110"/>
      <c r="M24" s="110"/>
      <c r="N24" s="110"/>
      <c r="O24" s="110"/>
      <c r="P24" s="110"/>
      <c r="Q24" s="110"/>
      <c r="R24" s="110"/>
      <c r="S24" s="110"/>
      <c r="AA24" s="110"/>
      <c r="AB24" s="110"/>
      <c r="AC24" s="110"/>
    </row>
    <row r="25" spans="1:30" x14ac:dyDescent="0.45">
      <c r="B25" s="110"/>
      <c r="C25" s="110"/>
      <c r="D25" s="110"/>
      <c r="E25" s="110"/>
      <c r="F25" s="110"/>
      <c r="G25" s="110" t="s">
        <v>11</v>
      </c>
      <c r="H25" s="110" t="s">
        <v>27</v>
      </c>
      <c r="J25" s="110" t="s">
        <v>226</v>
      </c>
      <c r="K25" s="110"/>
      <c r="L25" s="110"/>
      <c r="M25" s="110"/>
      <c r="R25" s="110"/>
      <c r="S25" s="110"/>
      <c r="AC25" s="110"/>
      <c r="AD25" s="110"/>
    </row>
    <row r="26" spans="1:30" x14ac:dyDescent="0.45">
      <c r="B26" s="110"/>
      <c r="C26" s="110"/>
      <c r="D26" s="110"/>
      <c r="E26" s="110"/>
      <c r="F26" s="110"/>
      <c r="G26" s="110" t="s">
        <v>174</v>
      </c>
      <c r="H26" s="110" t="s">
        <v>27</v>
      </c>
      <c r="J26" s="110" t="s">
        <v>227</v>
      </c>
      <c r="K26" s="110"/>
      <c r="L26" s="110"/>
      <c r="M26" s="110"/>
      <c r="N26" s="110"/>
      <c r="O26" s="110"/>
    </row>
    <row r="27" spans="1:30" x14ac:dyDescent="0.45">
      <c r="B27" s="110"/>
      <c r="C27" s="110"/>
      <c r="D27" s="110"/>
      <c r="E27" s="110"/>
      <c r="F27" s="110"/>
      <c r="G27" s="110" t="s">
        <v>173</v>
      </c>
      <c r="H27" s="110" t="s">
        <v>27</v>
      </c>
      <c r="J27" s="110" t="s">
        <v>228</v>
      </c>
      <c r="K27" s="110"/>
      <c r="L27" s="110"/>
      <c r="M27" s="110"/>
      <c r="N27" s="110"/>
    </row>
    <row r="28" spans="1:30" x14ac:dyDescent="0.45">
      <c r="B28" s="110"/>
      <c r="C28" s="110"/>
      <c r="D28" s="110"/>
      <c r="E28" s="110"/>
      <c r="F28" s="110"/>
      <c r="G28" s="110" t="s">
        <v>172</v>
      </c>
      <c r="H28" s="110" t="s">
        <v>27</v>
      </c>
      <c r="J28" s="111" t="s">
        <v>229</v>
      </c>
      <c r="K28" s="110"/>
      <c r="L28" s="110"/>
      <c r="M28" s="110"/>
      <c r="N28" s="110"/>
    </row>
    <row r="29" spans="1:30" x14ac:dyDescent="0.45">
      <c r="A29" s="1"/>
      <c r="B29" s="110"/>
      <c r="C29" s="110"/>
      <c r="D29" s="110"/>
      <c r="E29" s="110"/>
      <c r="F29" s="110"/>
      <c r="G29" s="110" t="s">
        <v>25</v>
      </c>
      <c r="H29" s="110" t="s">
        <v>80</v>
      </c>
      <c r="I29" s="110" t="s">
        <v>81</v>
      </c>
      <c r="J29" s="110" t="s">
        <v>299</v>
      </c>
      <c r="K29" s="110" t="s">
        <v>293</v>
      </c>
      <c r="L29" s="110" t="s">
        <v>141</v>
      </c>
      <c r="M29" s="110" t="s">
        <v>142</v>
      </c>
      <c r="N29" s="110"/>
      <c r="O29" s="50" t="s">
        <v>288</v>
      </c>
    </row>
    <row r="30" spans="1:30" ht="14.45" customHeight="1" x14ac:dyDescent="0.45">
      <c r="A30" s="1"/>
      <c r="B30" s="110"/>
      <c r="C30" s="110"/>
      <c r="D30" s="110"/>
      <c r="E30" s="110"/>
      <c r="F30" s="110"/>
      <c r="G30" s="110" t="s">
        <v>26</v>
      </c>
      <c r="H30" s="110" t="s">
        <v>80</v>
      </c>
      <c r="I30" s="110" t="s">
        <v>81</v>
      </c>
      <c r="J30" s="110" t="s">
        <v>299</v>
      </c>
      <c r="K30" s="110" t="s">
        <v>293</v>
      </c>
      <c r="L30" s="110" t="s">
        <v>141</v>
      </c>
      <c r="M30" s="110" t="s">
        <v>142</v>
      </c>
      <c r="N30" s="110"/>
      <c r="O30" s="50" t="s">
        <v>230</v>
      </c>
      <c r="P30" s="110"/>
    </row>
    <row r="31" spans="1:30" ht="14.45" customHeight="1" x14ac:dyDescent="0.45">
      <c r="B31" s="110"/>
      <c r="C31" s="110"/>
      <c r="D31" s="110"/>
      <c r="E31" s="110"/>
      <c r="F31" s="110"/>
      <c r="G31" s="110" t="s">
        <v>210</v>
      </c>
      <c r="H31" s="110" t="s">
        <v>80</v>
      </c>
      <c r="I31" s="110" t="s">
        <v>81</v>
      </c>
      <c r="J31" s="110" t="s">
        <v>300</v>
      </c>
      <c r="K31" s="110" t="s">
        <v>211</v>
      </c>
      <c r="L31" s="110" t="s">
        <v>298</v>
      </c>
      <c r="M31" s="110" t="s">
        <v>141</v>
      </c>
      <c r="N31" s="110" t="s">
        <v>142</v>
      </c>
      <c r="O31" s="110"/>
      <c r="P31" s="50" t="s">
        <v>289</v>
      </c>
      <c r="R31" s="153" t="s">
        <v>292</v>
      </c>
    </row>
    <row r="32" spans="1:30" ht="14.45" customHeight="1" x14ac:dyDescent="0.45">
      <c r="A32" s="109"/>
      <c r="B32" s="110"/>
      <c r="C32" s="110"/>
      <c r="D32" s="110"/>
      <c r="E32" s="110"/>
      <c r="F32" s="110"/>
      <c r="G32" s="110" t="s">
        <v>29</v>
      </c>
      <c r="H32" s="110" t="s">
        <v>30</v>
      </c>
      <c r="I32" s="110" t="s">
        <v>31</v>
      </c>
      <c r="J32" s="110" t="s">
        <v>122</v>
      </c>
      <c r="K32" s="110" t="s">
        <v>141</v>
      </c>
      <c r="L32" s="110" t="s">
        <v>142</v>
      </c>
      <c r="M32" s="110"/>
      <c r="N32" s="110"/>
      <c r="O32" s="110"/>
      <c r="P32" s="110"/>
      <c r="Q32" s="110"/>
      <c r="R32" s="110"/>
      <c r="S32" s="110"/>
    </row>
    <row r="33" spans="1:21" ht="14.45" customHeight="1" x14ac:dyDescent="0.45">
      <c r="B33" s="110"/>
      <c r="C33" s="110"/>
      <c r="D33" s="110"/>
      <c r="E33" s="110"/>
      <c r="F33" s="110"/>
      <c r="G33" s="110" t="s">
        <v>28</v>
      </c>
      <c r="H33" s="110" t="s">
        <v>30</v>
      </c>
      <c r="I33" s="110" t="s">
        <v>31</v>
      </c>
      <c r="J33" s="110" t="s">
        <v>122</v>
      </c>
      <c r="K33" s="110" t="s">
        <v>141</v>
      </c>
      <c r="L33" s="110" t="s">
        <v>142</v>
      </c>
      <c r="M33" s="110"/>
      <c r="N33" s="110"/>
      <c r="O33" s="110"/>
      <c r="P33" s="110"/>
      <c r="Q33" s="110"/>
      <c r="R33" s="110"/>
      <c r="S33" s="110"/>
    </row>
    <row r="34" spans="1:21" ht="14.45" customHeight="1" x14ac:dyDescent="0.45">
      <c r="B34" s="110"/>
      <c r="C34" s="110"/>
      <c r="D34" s="110"/>
      <c r="E34" s="110"/>
      <c r="F34" s="110"/>
      <c r="G34" s="110" t="s">
        <v>162</v>
      </c>
      <c r="H34" s="110" t="s">
        <v>30</v>
      </c>
      <c r="I34" s="110" t="s">
        <v>31</v>
      </c>
      <c r="J34" s="110" t="s">
        <v>122</v>
      </c>
      <c r="K34" s="110" t="s">
        <v>141</v>
      </c>
      <c r="L34" s="110" t="s">
        <v>142</v>
      </c>
      <c r="M34" s="110"/>
      <c r="O34" s="110"/>
      <c r="P34" s="110"/>
    </row>
    <row r="35" spans="1:21" ht="15" customHeight="1" x14ac:dyDescent="0.45">
      <c r="B35" s="110"/>
      <c r="C35" s="110"/>
      <c r="D35" s="110"/>
      <c r="E35" s="110"/>
      <c r="F35" s="110"/>
      <c r="G35" s="110" t="s">
        <v>178</v>
      </c>
      <c r="H35" s="110" t="s">
        <v>296</v>
      </c>
      <c r="I35" s="110" t="s">
        <v>297</v>
      </c>
      <c r="J35" s="110" t="s">
        <v>298</v>
      </c>
      <c r="K35" s="110" t="s">
        <v>141</v>
      </c>
      <c r="L35" s="110" t="s">
        <v>142</v>
      </c>
      <c r="M35" s="50" t="s">
        <v>189</v>
      </c>
      <c r="Q35" s="153" t="s">
        <v>179</v>
      </c>
      <c r="R35" s="159"/>
      <c r="S35" s="159"/>
      <c r="T35" s="159"/>
      <c r="U35" s="159"/>
    </row>
    <row r="36" spans="1:21" x14ac:dyDescent="0.45">
      <c r="G36" s="110" t="s">
        <v>69</v>
      </c>
      <c r="H36" s="110" t="s">
        <v>70</v>
      </c>
      <c r="I36" s="110" t="s">
        <v>52</v>
      </c>
      <c r="J36" s="110"/>
      <c r="K36" s="110"/>
      <c r="L36" s="110"/>
      <c r="M36" s="111" t="s">
        <v>71</v>
      </c>
      <c r="N36" s="110"/>
      <c r="O36" s="110"/>
      <c r="Q36" s="110"/>
      <c r="R36" s="110"/>
      <c r="S36" s="110"/>
    </row>
    <row r="37" spans="1:21" x14ac:dyDescent="0.45">
      <c r="G37" s="110" t="s">
        <v>67</v>
      </c>
      <c r="H37" s="110" t="s">
        <v>70</v>
      </c>
      <c r="I37" s="110" t="s">
        <v>52</v>
      </c>
      <c r="J37" s="110"/>
      <c r="K37" s="110"/>
      <c r="L37" s="110"/>
      <c r="M37" s="111" t="s">
        <v>71</v>
      </c>
      <c r="N37" s="110"/>
      <c r="O37" s="110"/>
      <c r="P37" s="110"/>
      <c r="Q37" s="110"/>
      <c r="R37" s="110"/>
    </row>
    <row r="38" spans="1:21" x14ac:dyDescent="0.45">
      <c r="G38" s="110" t="s">
        <v>222</v>
      </c>
      <c r="H38" s="110" t="s">
        <v>27</v>
      </c>
      <c r="I38" s="111" t="s">
        <v>223</v>
      </c>
      <c r="P38" s="110"/>
      <c r="S38" s="110"/>
    </row>
    <row r="41" spans="1:21" x14ac:dyDescent="0.45">
      <c r="A41" s="109"/>
    </row>
    <row r="42" spans="1:21" ht="93.75" customHeight="1" x14ac:dyDescent="0.45">
      <c r="B42" s="51" t="s">
        <v>286</v>
      </c>
      <c r="C42" s="51" t="s">
        <v>12</v>
      </c>
      <c r="D42" s="160" t="s">
        <v>287</v>
      </c>
      <c r="E42" s="160"/>
      <c r="F42" s="160"/>
      <c r="G42" s="160"/>
      <c r="H42" s="160"/>
      <c r="I42" s="160"/>
      <c r="J42" s="160"/>
      <c r="K42" s="160"/>
      <c r="L42" s="160"/>
      <c r="M42" s="160"/>
      <c r="N42" s="160"/>
      <c r="O42" s="160"/>
    </row>
    <row r="43" spans="1:21" x14ac:dyDescent="0.45">
      <c r="B43" s="51"/>
      <c r="C43" s="51"/>
      <c r="D43" s="51"/>
      <c r="E43" s="51"/>
      <c r="F43" s="51"/>
      <c r="G43" s="51"/>
      <c r="H43" s="51"/>
      <c r="I43" s="51"/>
      <c r="J43" s="51"/>
      <c r="K43" s="51"/>
      <c r="L43" s="51"/>
      <c r="M43" s="51"/>
      <c r="N43" s="51"/>
      <c r="O43" s="51"/>
    </row>
    <row r="44" spans="1:21" x14ac:dyDescent="0.45">
      <c r="B44" s="51"/>
      <c r="C44" s="51"/>
      <c r="D44" s="51" t="s">
        <v>29</v>
      </c>
      <c r="E44" s="51" t="s">
        <v>30</v>
      </c>
      <c r="F44" s="51" t="s">
        <v>31</v>
      </c>
      <c r="G44" s="51" t="s">
        <v>122</v>
      </c>
      <c r="H44" s="51" t="s">
        <v>141</v>
      </c>
      <c r="I44" s="51" t="s">
        <v>142</v>
      </c>
      <c r="J44" s="51"/>
      <c r="K44" s="51"/>
      <c r="L44" s="51"/>
      <c r="M44" s="51"/>
      <c r="N44" s="51"/>
      <c r="O44" s="51"/>
    </row>
    <row r="45" spans="1:21" ht="15" customHeight="1" x14ac:dyDescent="0.45">
      <c r="B45" s="51"/>
      <c r="C45" s="51"/>
      <c r="D45" s="51" t="s">
        <v>178</v>
      </c>
      <c r="E45" s="51" t="s">
        <v>117</v>
      </c>
      <c r="F45" s="51" t="s">
        <v>118</v>
      </c>
      <c r="G45" s="51" t="s">
        <v>119</v>
      </c>
      <c r="H45" s="51" t="s">
        <v>141</v>
      </c>
      <c r="I45" s="51" t="s">
        <v>142</v>
      </c>
      <c r="J45" s="51"/>
      <c r="K45" s="51"/>
      <c r="L45" s="51"/>
      <c r="M45" s="161" t="s">
        <v>189</v>
      </c>
      <c r="P45" s="153" t="s">
        <v>978</v>
      </c>
      <c r="Q45" s="159"/>
      <c r="R45" s="159"/>
      <c r="S45" s="159"/>
      <c r="T45" s="159"/>
    </row>
    <row r="46" spans="1:21" x14ac:dyDescent="0.45">
      <c r="B46" s="51"/>
      <c r="C46" s="51"/>
      <c r="D46" s="51" t="s">
        <v>25</v>
      </c>
      <c r="E46" s="51" t="s">
        <v>80</v>
      </c>
      <c r="F46" s="51" t="s">
        <v>81</v>
      </c>
      <c r="G46" s="51" t="s">
        <v>294</v>
      </c>
      <c r="H46" s="51" t="s">
        <v>293</v>
      </c>
      <c r="I46" s="51" t="s">
        <v>141</v>
      </c>
      <c r="J46" s="51" t="s">
        <v>142</v>
      </c>
      <c r="K46" s="51"/>
      <c r="L46" s="51"/>
      <c r="M46" s="51"/>
      <c r="N46" s="51"/>
      <c r="O46" s="111" t="s">
        <v>288</v>
      </c>
    </row>
    <row r="47" spans="1:21" ht="14.45" customHeight="1" x14ac:dyDescent="0.45">
      <c r="B47" s="51"/>
      <c r="C47" s="51"/>
      <c r="D47" s="51" t="s">
        <v>210</v>
      </c>
      <c r="E47" s="51" t="s">
        <v>80</v>
      </c>
      <c r="F47" s="51" t="s">
        <v>81</v>
      </c>
      <c r="G47" s="51" t="s">
        <v>295</v>
      </c>
      <c r="H47" s="51" t="s">
        <v>211</v>
      </c>
      <c r="I47" s="51" t="s">
        <v>298</v>
      </c>
      <c r="J47" s="51" t="s">
        <v>141</v>
      </c>
      <c r="K47" s="51" t="s">
        <v>142</v>
      </c>
      <c r="L47" s="51"/>
      <c r="M47" s="51"/>
      <c r="N47" s="51"/>
      <c r="O47" s="111" t="s">
        <v>289</v>
      </c>
      <c r="P47" s="153" t="s">
        <v>979</v>
      </c>
    </row>
    <row r="48" spans="1:21" x14ac:dyDescent="0.45">
      <c r="B48" s="51"/>
      <c r="C48" s="51"/>
      <c r="D48" s="51"/>
      <c r="E48" s="51"/>
      <c r="F48" s="51"/>
      <c r="G48" s="51"/>
      <c r="H48" s="51"/>
      <c r="I48" s="51"/>
      <c r="J48" s="51"/>
      <c r="K48" s="51"/>
      <c r="L48" s="51"/>
      <c r="M48" s="51"/>
      <c r="N48" s="51"/>
      <c r="O48" s="51"/>
    </row>
    <row r="49" spans="2:15" x14ac:dyDescent="0.45">
      <c r="B49" s="51"/>
      <c r="C49" s="51"/>
      <c r="D49" s="51"/>
      <c r="E49" s="51"/>
      <c r="F49" s="51"/>
      <c r="G49" s="51"/>
      <c r="H49" s="51"/>
      <c r="I49" s="51"/>
      <c r="J49" s="51"/>
      <c r="K49" s="51"/>
      <c r="L49" s="51"/>
      <c r="M49" s="51"/>
      <c r="N49" s="51"/>
      <c r="O49" s="51"/>
    </row>
    <row r="50" spans="2:15" x14ac:dyDescent="0.45">
      <c r="B50" s="51"/>
      <c r="C50" s="51"/>
      <c r="D50" s="51"/>
      <c r="E50" s="51"/>
      <c r="F50" s="51"/>
      <c r="G50" s="51"/>
      <c r="H50" s="51"/>
      <c r="I50" s="51"/>
      <c r="J50" s="51"/>
      <c r="K50" s="51"/>
      <c r="L50" s="51"/>
      <c r="M50" s="51"/>
      <c r="N50" s="51"/>
      <c r="O50" s="51"/>
    </row>
    <row r="51" spans="2:15" x14ac:dyDescent="0.45">
      <c r="B51" s="51"/>
      <c r="C51" s="51"/>
      <c r="D51" s="51"/>
      <c r="E51" s="51"/>
      <c r="F51" s="51"/>
      <c r="G51" s="51"/>
      <c r="H51" s="51"/>
      <c r="I51" s="51"/>
      <c r="J51" s="51"/>
      <c r="K51" s="51"/>
      <c r="L51" s="51"/>
      <c r="M51" s="51"/>
      <c r="N51" s="51"/>
      <c r="O51" s="51"/>
    </row>
    <row r="52" spans="2:15" x14ac:dyDescent="0.45">
      <c r="B52" s="51"/>
      <c r="C52" s="51"/>
      <c r="D52" s="51"/>
      <c r="E52" s="51"/>
      <c r="F52" s="51"/>
      <c r="G52" s="51"/>
      <c r="H52" s="51"/>
      <c r="I52" s="51"/>
      <c r="J52" s="51"/>
      <c r="K52" s="51"/>
      <c r="L52" s="51"/>
      <c r="M52" s="51"/>
      <c r="N52" s="51"/>
      <c r="O52" s="51"/>
    </row>
    <row r="54" spans="2:15" x14ac:dyDescent="0.45">
      <c r="B54" s="51"/>
      <c r="C54" s="51"/>
      <c r="D54" s="51"/>
      <c r="E54" s="51"/>
      <c r="F54" s="51"/>
      <c r="G54" s="51"/>
      <c r="H54" s="51"/>
      <c r="I54" s="51"/>
      <c r="J54" s="51"/>
      <c r="K54" s="51"/>
      <c r="L54" s="51"/>
      <c r="M54" s="51"/>
      <c r="N54" s="51"/>
      <c r="O54" s="51"/>
    </row>
    <row r="55" spans="2:15" x14ac:dyDescent="0.45">
      <c r="B55" s="51"/>
      <c r="C55" s="51"/>
      <c r="D55" s="51"/>
      <c r="E55" s="51"/>
      <c r="F55" s="51"/>
      <c r="G55" s="51"/>
      <c r="H55" s="51"/>
      <c r="I55" s="51"/>
      <c r="J55" s="51"/>
      <c r="K55" s="51"/>
      <c r="L55" s="51"/>
      <c r="M55" s="51"/>
      <c r="N55" s="51"/>
      <c r="O55" s="51"/>
    </row>
  </sheetData>
  <mergeCells count="2">
    <mergeCell ref="G21:O21"/>
    <mergeCell ref="D42:O42"/>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1900"/>
  <sheetViews>
    <sheetView topLeftCell="A221" zoomScale="75" zoomScaleNormal="85" workbookViewId="0">
      <selection activeCell="O1" sqref="O1:O6"/>
    </sheetView>
  </sheetViews>
  <sheetFormatPr defaultRowHeight="14.25" x14ac:dyDescent="0.45"/>
  <cols>
    <col min="1" max="1" width="11.59765625" customWidth="1"/>
    <col min="2" max="7" width="5.86328125" customWidth="1"/>
    <col min="8" max="8" width="10.86328125" bestFit="1" customWidth="1"/>
    <col min="9" max="9" width="11.1328125" bestFit="1" customWidth="1"/>
    <col min="10" max="10" width="9" customWidth="1"/>
    <col min="11" max="13" width="15.1328125" customWidth="1"/>
    <col min="14" max="14" width="17.86328125" customWidth="1"/>
    <col min="15" max="15" width="16.3984375" style="49" customWidth="1"/>
    <col min="16" max="16" width="36.1328125" customWidth="1"/>
    <col min="30" max="30" width="33.59765625" bestFit="1" customWidth="1"/>
    <col min="31" max="31" width="25.1328125" bestFit="1" customWidth="1"/>
  </cols>
  <sheetData>
    <row r="1" spans="1:19" x14ac:dyDescent="0.45">
      <c r="A1" t="s">
        <v>48</v>
      </c>
      <c r="B1" t="s">
        <v>3</v>
      </c>
      <c r="C1" t="s">
        <v>4</v>
      </c>
      <c r="D1" t="s">
        <v>33</v>
      </c>
      <c r="E1" t="s">
        <v>5</v>
      </c>
      <c r="F1" t="s">
        <v>6</v>
      </c>
      <c r="G1" t="s">
        <v>34</v>
      </c>
      <c r="H1" t="s">
        <v>15</v>
      </c>
      <c r="I1" t="s">
        <v>641</v>
      </c>
      <c r="J1" t="s">
        <v>47</v>
      </c>
      <c r="K1" t="s">
        <v>123</v>
      </c>
      <c r="L1" t="s">
        <v>243</v>
      </c>
      <c r="M1" t="s">
        <v>66</v>
      </c>
      <c r="N1" t="s">
        <v>35</v>
      </c>
      <c r="O1" s="49" t="s">
        <v>175</v>
      </c>
      <c r="P1" t="s">
        <v>36</v>
      </c>
    </row>
    <row r="2" spans="1:19" x14ac:dyDescent="0.45">
      <c r="A2" t="s">
        <v>23</v>
      </c>
      <c r="B2">
        <v>20</v>
      </c>
      <c r="C2">
        <v>10</v>
      </c>
      <c r="D2">
        <v>0.3</v>
      </c>
      <c r="E2">
        <v>20</v>
      </c>
      <c r="F2">
        <v>10</v>
      </c>
      <c r="G2">
        <v>0</v>
      </c>
      <c r="H2">
        <v>0</v>
      </c>
      <c r="I2">
        <v>0</v>
      </c>
      <c r="K2">
        <v>2000</v>
      </c>
      <c r="N2">
        <v>0</v>
      </c>
      <c r="O2" s="49">
        <v>0</v>
      </c>
      <c r="P2" t="s">
        <v>430</v>
      </c>
      <c r="Q2" t="s">
        <v>958</v>
      </c>
    </row>
    <row r="3" spans="1:19" x14ac:dyDescent="0.45">
      <c r="A3" t="s">
        <v>19</v>
      </c>
      <c r="B3">
        <v>20</v>
      </c>
      <c r="C3">
        <v>10</v>
      </c>
      <c r="D3">
        <v>0</v>
      </c>
      <c r="E3">
        <v>30</v>
      </c>
      <c r="F3">
        <v>10</v>
      </c>
      <c r="G3">
        <v>0</v>
      </c>
      <c r="H3">
        <v>0.5</v>
      </c>
      <c r="I3">
        <v>0.2</v>
      </c>
      <c r="J3">
        <v>0.41575168807678825</v>
      </c>
      <c r="K3">
        <v>2000</v>
      </c>
      <c r="L3">
        <v>0</v>
      </c>
      <c r="N3">
        <v>1</v>
      </c>
      <c r="O3" s="49" t="s">
        <v>330</v>
      </c>
      <c r="P3" t="s">
        <v>921</v>
      </c>
      <c r="Q3" t="s">
        <v>959</v>
      </c>
      <c r="S3" s="42"/>
    </row>
    <row r="4" spans="1:19" x14ac:dyDescent="0.45">
      <c r="A4" t="s">
        <v>19</v>
      </c>
      <c r="B4">
        <v>30</v>
      </c>
      <c r="C4">
        <v>10</v>
      </c>
      <c r="D4">
        <v>0</v>
      </c>
      <c r="E4">
        <v>190</v>
      </c>
      <c r="F4">
        <v>10</v>
      </c>
      <c r="G4">
        <v>0</v>
      </c>
      <c r="H4">
        <v>0.5</v>
      </c>
      <c r="I4">
        <v>0.2</v>
      </c>
      <c r="J4">
        <v>6.652027009228612</v>
      </c>
      <c r="K4">
        <v>2000</v>
      </c>
      <c r="L4">
        <v>0</v>
      </c>
      <c r="N4">
        <v>2</v>
      </c>
      <c r="O4" s="49" t="s">
        <v>501</v>
      </c>
      <c r="P4" t="s">
        <v>922</v>
      </c>
      <c r="Q4" t="s">
        <v>960</v>
      </c>
      <c r="S4" s="42"/>
    </row>
    <row r="5" spans="1:19" x14ac:dyDescent="0.45">
      <c r="A5" t="s">
        <v>19</v>
      </c>
      <c r="B5">
        <v>190</v>
      </c>
      <c r="C5">
        <v>10</v>
      </c>
      <c r="D5">
        <v>0</v>
      </c>
      <c r="E5">
        <v>190</v>
      </c>
      <c r="F5">
        <v>100</v>
      </c>
      <c r="G5">
        <v>0</v>
      </c>
      <c r="H5">
        <v>0.5</v>
      </c>
      <c r="I5">
        <v>0.2</v>
      </c>
      <c r="J5">
        <v>3.7417651926910942</v>
      </c>
      <c r="K5">
        <v>2000</v>
      </c>
      <c r="L5">
        <v>0</v>
      </c>
      <c r="N5">
        <v>3</v>
      </c>
      <c r="O5" s="49" t="s">
        <v>923</v>
      </c>
      <c r="P5" t="s">
        <v>924</v>
      </c>
      <c r="Q5" t="s">
        <v>961</v>
      </c>
      <c r="S5" s="42"/>
    </row>
    <row r="6" spans="1:19" x14ac:dyDescent="0.45">
      <c r="A6" t="s">
        <v>19</v>
      </c>
      <c r="B6">
        <v>190</v>
      </c>
      <c r="C6">
        <v>100</v>
      </c>
      <c r="D6">
        <v>0</v>
      </c>
      <c r="E6">
        <v>150</v>
      </c>
      <c r="F6">
        <v>100</v>
      </c>
      <c r="G6">
        <v>0</v>
      </c>
      <c r="H6">
        <v>0.5</v>
      </c>
      <c r="I6">
        <v>0.2</v>
      </c>
      <c r="J6">
        <v>1.663006752307153</v>
      </c>
      <c r="K6">
        <v>2000</v>
      </c>
      <c r="L6">
        <v>0</v>
      </c>
      <c r="N6">
        <v>4</v>
      </c>
      <c r="O6" s="49" t="s">
        <v>925</v>
      </c>
      <c r="P6" t="s">
        <v>926</v>
      </c>
      <c r="Q6" t="s">
        <v>962</v>
      </c>
      <c r="S6" s="42"/>
    </row>
    <row r="7" spans="1:19" x14ac:dyDescent="0.45">
      <c r="S7" s="42"/>
    </row>
    <row r="8" spans="1:19" x14ac:dyDescent="0.45">
      <c r="S8" s="42"/>
    </row>
    <row r="9" spans="1:19" x14ac:dyDescent="0.45">
      <c r="S9" s="42"/>
    </row>
    <row r="10" spans="1:19" x14ac:dyDescent="0.45">
      <c r="S10" s="42"/>
    </row>
    <row r="11" spans="1:19" x14ac:dyDescent="0.45">
      <c r="S11" s="42"/>
    </row>
    <row r="12" spans="1:19" x14ac:dyDescent="0.45">
      <c r="S12" s="42"/>
    </row>
    <row r="13" spans="1:19" x14ac:dyDescent="0.45">
      <c r="S13" s="42"/>
    </row>
    <row r="14" spans="1:19" x14ac:dyDescent="0.45">
      <c r="S14" s="42"/>
    </row>
    <row r="15" spans="1:19" x14ac:dyDescent="0.45">
      <c r="S15" s="42"/>
    </row>
    <row r="16" spans="1:19" x14ac:dyDescent="0.45">
      <c r="S16" s="42"/>
    </row>
    <row r="17" spans="19:19" x14ac:dyDescent="0.45">
      <c r="S17" s="42"/>
    </row>
    <row r="1888" spans="20:20" x14ac:dyDescent="0.45">
      <c r="T1888" t="s">
        <v>49</v>
      </c>
    </row>
    <row r="1889" spans="20:20" x14ac:dyDescent="0.45">
      <c r="T1889" t="s">
        <v>58</v>
      </c>
    </row>
    <row r="1890" spans="20:20" x14ac:dyDescent="0.45">
      <c r="T1890" t="s">
        <v>63</v>
      </c>
    </row>
    <row r="1891" spans="20:20" x14ac:dyDescent="0.45">
      <c r="T1891" t="s">
        <v>64</v>
      </c>
    </row>
    <row r="1892" spans="20:20" x14ac:dyDescent="0.45">
      <c r="T1892" t="s">
        <v>62</v>
      </c>
    </row>
    <row r="1893" spans="20:20" x14ac:dyDescent="0.45">
      <c r="T1893" t="s">
        <v>65</v>
      </c>
    </row>
    <row r="1894" spans="20:20" x14ac:dyDescent="0.45">
      <c r="T1894" t="s">
        <v>64</v>
      </c>
    </row>
    <row r="1895" spans="20:20" x14ac:dyDescent="0.45">
      <c r="T1895" t="s">
        <v>62</v>
      </c>
    </row>
    <row r="1896" spans="20:20" x14ac:dyDescent="0.45">
      <c r="T1896" t="s">
        <v>65</v>
      </c>
    </row>
    <row r="1897" spans="20:20" x14ac:dyDescent="0.45">
      <c r="T1897" t="s">
        <v>64</v>
      </c>
    </row>
    <row r="1898" spans="20:20" x14ac:dyDescent="0.45">
      <c r="T1898" t="s">
        <v>62</v>
      </c>
    </row>
    <row r="1899" spans="20:20" x14ac:dyDescent="0.45">
      <c r="T1899" t="s">
        <v>65</v>
      </c>
    </row>
    <row r="1900" spans="20:20" x14ac:dyDescent="0.45">
      <c r="T1900" t="s">
        <v>61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D2" sqref="D2:D62"/>
    </sheetView>
  </sheetViews>
  <sheetFormatPr defaultRowHeight="14.25" x14ac:dyDescent="0.45"/>
  <cols>
    <col min="2" max="2" width="26.59765625" customWidth="1"/>
    <col min="3" max="3" width="9.59765625" customWidth="1"/>
    <col min="4" max="4" width="11" customWidth="1"/>
    <col min="7" max="7" width="28.265625" customWidth="1"/>
    <col min="8" max="8" width="32.73046875" customWidth="1"/>
    <col min="9" max="9" width="40.59765625" customWidth="1"/>
    <col min="13" max="13" width="30.73046875" customWidth="1"/>
    <col min="14" max="14" width="27" customWidth="1"/>
    <col min="16" max="16" width="50.73046875" customWidth="1"/>
  </cols>
  <sheetData>
    <row r="1" spans="1:14" x14ac:dyDescent="0.45">
      <c r="A1" t="s">
        <v>131</v>
      </c>
      <c r="B1" t="s">
        <v>193</v>
      </c>
      <c r="C1" t="s">
        <v>434</v>
      </c>
      <c r="D1" t="s">
        <v>459</v>
      </c>
      <c r="E1" t="s">
        <v>503</v>
      </c>
      <c r="F1" t="s">
        <v>553</v>
      </c>
      <c r="G1" t="s">
        <v>593</v>
      </c>
      <c r="H1" t="s">
        <v>594</v>
      </c>
      <c r="I1" t="s">
        <v>641</v>
      </c>
      <c r="J1" t="s">
        <v>673</v>
      </c>
      <c r="K1" t="s">
        <v>740</v>
      </c>
      <c r="L1" t="s">
        <v>764</v>
      </c>
      <c r="M1" t="s">
        <v>797</v>
      </c>
      <c r="N1" t="s">
        <v>826</v>
      </c>
    </row>
    <row r="2" spans="1:14" x14ac:dyDescent="0.45">
      <c r="N2" t="s">
        <v>839</v>
      </c>
    </row>
    <row r="3" spans="1:14" x14ac:dyDescent="0.45">
      <c r="B3" t="s">
        <v>147</v>
      </c>
      <c r="C3" t="s">
        <v>435</v>
      </c>
      <c r="D3" t="s">
        <v>435</v>
      </c>
      <c r="E3" t="s">
        <v>435</v>
      </c>
      <c r="F3" t="s">
        <v>502</v>
      </c>
      <c r="G3" t="s">
        <v>636</v>
      </c>
      <c r="H3" t="s">
        <v>502</v>
      </c>
      <c r="I3" t="s">
        <v>636</v>
      </c>
      <c r="J3" t="s">
        <v>655</v>
      </c>
      <c r="K3" t="s">
        <v>636</v>
      </c>
      <c r="L3" t="s">
        <v>756</v>
      </c>
      <c r="M3" t="s">
        <v>636</v>
      </c>
    </row>
    <row r="4" spans="1:14" x14ac:dyDescent="0.45">
      <c r="B4" t="s">
        <v>148</v>
      </c>
      <c r="C4" t="s">
        <v>436</v>
      </c>
      <c r="D4" t="s">
        <v>436</v>
      </c>
      <c r="E4" t="s">
        <v>436</v>
      </c>
      <c r="K4" t="s">
        <v>741</v>
      </c>
      <c r="L4" t="s">
        <v>636</v>
      </c>
      <c r="M4" t="s">
        <v>798</v>
      </c>
      <c r="N4" t="s">
        <v>840</v>
      </c>
    </row>
    <row r="5" spans="1:14" x14ac:dyDescent="0.45">
      <c r="B5" t="s">
        <v>149</v>
      </c>
      <c r="C5" t="s">
        <v>437</v>
      </c>
      <c r="D5" t="s">
        <v>437</v>
      </c>
      <c r="E5" t="s">
        <v>437</v>
      </c>
      <c r="F5" t="s">
        <v>554</v>
      </c>
      <c r="G5" t="s">
        <v>595</v>
      </c>
      <c r="H5" t="s">
        <v>595</v>
      </c>
      <c r="J5" t="s">
        <v>435</v>
      </c>
      <c r="K5" t="s">
        <v>742</v>
      </c>
      <c r="L5" t="s">
        <v>537</v>
      </c>
      <c r="M5" t="s">
        <v>799</v>
      </c>
      <c r="N5" t="s">
        <v>841</v>
      </c>
    </row>
    <row r="6" spans="1:14" x14ac:dyDescent="0.45">
      <c r="B6" t="s">
        <v>150</v>
      </c>
      <c r="C6" t="s">
        <v>438</v>
      </c>
      <c r="D6" t="s">
        <v>438</v>
      </c>
      <c r="E6" t="s">
        <v>438</v>
      </c>
      <c r="F6" t="s">
        <v>555</v>
      </c>
      <c r="G6" t="s">
        <v>596</v>
      </c>
      <c r="H6" t="s">
        <v>596</v>
      </c>
      <c r="I6" t="s">
        <v>637</v>
      </c>
      <c r="J6" t="s">
        <v>436</v>
      </c>
      <c r="K6" t="s">
        <v>743</v>
      </c>
      <c r="L6" t="s">
        <v>606</v>
      </c>
      <c r="M6" t="s">
        <v>800</v>
      </c>
      <c r="N6" t="s">
        <v>842</v>
      </c>
    </row>
    <row r="7" spans="1:14" x14ac:dyDescent="0.45">
      <c r="B7" t="s">
        <v>151</v>
      </c>
      <c r="C7" t="s">
        <v>439</v>
      </c>
      <c r="D7" t="s">
        <v>439</v>
      </c>
      <c r="E7" t="s">
        <v>439</v>
      </c>
      <c r="F7" t="s">
        <v>556</v>
      </c>
      <c r="G7" t="s">
        <v>598</v>
      </c>
      <c r="H7" t="s">
        <v>597</v>
      </c>
      <c r="J7" t="s">
        <v>437</v>
      </c>
      <c r="K7" t="s">
        <v>744</v>
      </c>
      <c r="L7" t="s">
        <v>738</v>
      </c>
      <c r="M7" t="s">
        <v>801</v>
      </c>
      <c r="N7" t="s">
        <v>843</v>
      </c>
    </row>
    <row r="8" spans="1:14" x14ac:dyDescent="0.45">
      <c r="B8" t="s">
        <v>502</v>
      </c>
      <c r="C8" t="s">
        <v>440</v>
      </c>
      <c r="D8" t="s">
        <v>440</v>
      </c>
      <c r="E8" t="s">
        <v>440</v>
      </c>
      <c r="F8" t="s">
        <v>557</v>
      </c>
      <c r="G8" t="s">
        <v>599</v>
      </c>
      <c r="H8" t="s">
        <v>598</v>
      </c>
      <c r="I8" t="s">
        <v>708</v>
      </c>
      <c r="J8" t="s">
        <v>438</v>
      </c>
      <c r="K8" t="s">
        <v>745</v>
      </c>
      <c r="L8" t="s">
        <v>757</v>
      </c>
      <c r="M8" t="s">
        <v>802</v>
      </c>
      <c r="N8" t="s">
        <v>844</v>
      </c>
    </row>
    <row r="9" spans="1:14" x14ac:dyDescent="0.45">
      <c r="B9" t="s">
        <v>107</v>
      </c>
      <c r="C9" t="s">
        <v>441</v>
      </c>
      <c r="D9" t="s">
        <v>441</v>
      </c>
      <c r="E9" t="s">
        <v>441</v>
      </c>
      <c r="F9" t="s">
        <v>558</v>
      </c>
      <c r="G9" t="s">
        <v>600</v>
      </c>
      <c r="H9" t="s">
        <v>599</v>
      </c>
      <c r="I9" s="113" t="s">
        <v>709</v>
      </c>
      <c r="L9" t="str">
        <f>CONCATENATE("M140 S",BedTemp)</f>
        <v>M140 S60</v>
      </c>
      <c r="M9" t="s">
        <v>803</v>
      </c>
      <c r="N9" t="s">
        <v>558</v>
      </c>
    </row>
    <row r="10" spans="1:14" x14ac:dyDescent="0.45">
      <c r="B10" t="s">
        <v>152</v>
      </c>
      <c r="C10" t="s">
        <v>442</v>
      </c>
      <c r="D10" t="s">
        <v>460</v>
      </c>
      <c r="E10" t="s">
        <v>504</v>
      </c>
      <c r="G10" t="s">
        <v>726</v>
      </c>
      <c r="H10" t="s">
        <v>600</v>
      </c>
      <c r="I10" t="s">
        <v>710</v>
      </c>
      <c r="J10" t="s">
        <v>656</v>
      </c>
      <c r="K10" t="s">
        <v>746</v>
      </c>
      <c r="M10" t="s">
        <v>804</v>
      </c>
      <c r="N10" t="s">
        <v>92</v>
      </c>
    </row>
    <row r="11" spans="1:14" x14ac:dyDescent="0.45">
      <c r="B11" t="s">
        <v>153</v>
      </c>
      <c r="C11" t="s">
        <v>443</v>
      </c>
      <c r="D11" t="s">
        <v>461</v>
      </c>
      <c r="E11" t="s">
        <v>505</v>
      </c>
      <c r="G11" t="s">
        <v>727</v>
      </c>
      <c r="H11" t="s">
        <v>620</v>
      </c>
      <c r="I11" t="s">
        <v>711</v>
      </c>
      <c r="J11" t="s">
        <v>657</v>
      </c>
      <c r="K11" t="s">
        <v>508</v>
      </c>
      <c r="M11" t="s">
        <v>805</v>
      </c>
      <c r="N11" t="s">
        <v>738</v>
      </c>
    </row>
    <row r="12" spans="1:14" x14ac:dyDescent="0.45">
      <c r="B12" t="s">
        <v>154</v>
      </c>
      <c r="C12" t="s">
        <v>444</v>
      </c>
      <c r="D12" t="s">
        <v>462</v>
      </c>
      <c r="E12" t="s">
        <v>506</v>
      </c>
      <c r="F12" t="s">
        <v>559</v>
      </c>
      <c r="G12" t="s">
        <v>601</v>
      </c>
      <c r="H12" t="s">
        <v>621</v>
      </c>
      <c r="I12" t="s">
        <v>706</v>
      </c>
      <c r="J12" t="s">
        <v>658</v>
      </c>
      <c r="K12" t="s">
        <v>133</v>
      </c>
      <c r="L12" t="s">
        <v>758</v>
      </c>
      <c r="M12" t="s">
        <v>806</v>
      </c>
      <c r="N12" t="s">
        <v>845</v>
      </c>
    </row>
    <row r="13" spans="1:14" ht="28.5" x14ac:dyDescent="0.45">
      <c r="B13" t="s">
        <v>90</v>
      </c>
      <c r="C13" t="s">
        <v>502</v>
      </c>
      <c r="D13" t="s">
        <v>502</v>
      </c>
      <c r="E13" t="s">
        <v>502</v>
      </c>
      <c r="F13" t="s">
        <v>560</v>
      </c>
      <c r="G13" t="s">
        <v>602</v>
      </c>
      <c r="H13" t="s">
        <v>601</v>
      </c>
      <c r="I13" s="113" t="s">
        <v>714</v>
      </c>
      <c r="J13" t="s">
        <v>659</v>
      </c>
      <c r="K13" t="s">
        <v>747</v>
      </c>
      <c r="L13" t="str">
        <f>CONCATENATE("M109 S",NozzleTemp)</f>
        <v>M109 S210</v>
      </c>
      <c r="M13" t="s">
        <v>807</v>
      </c>
      <c r="N13" t="str">
        <f>CONCATENATE("M104 S",NozzleTemp)</f>
        <v>M104 S210</v>
      </c>
    </row>
    <row r="14" spans="1:14" x14ac:dyDescent="0.45">
      <c r="B14" t="s">
        <v>155</v>
      </c>
      <c r="F14" t="s">
        <v>561</v>
      </c>
      <c r="G14" t="s">
        <v>728</v>
      </c>
      <c r="H14" t="s">
        <v>602</v>
      </c>
      <c r="I14" t="s">
        <v>718</v>
      </c>
      <c r="J14" t="s">
        <v>660</v>
      </c>
      <c r="K14" t="str">
        <f>CONCATENATE("M140 S",BedTemp," ;set print bed temp")</f>
        <v>M140 S60 ;set print bed temp</v>
      </c>
      <c r="M14" t="s">
        <v>808</v>
      </c>
      <c r="N14" t="str">
        <f>CONCATENATE("M140 S",BedTemp)</f>
        <v>M140 S60</v>
      </c>
    </row>
    <row r="15" spans="1:14" x14ac:dyDescent="0.45">
      <c r="B15" t="s">
        <v>90</v>
      </c>
      <c r="F15" t="str">
        <f>CONCATENATE("M140 S",BedTemp)</f>
        <v>M140 S60</v>
      </c>
      <c r="G15" t="s">
        <v>729</v>
      </c>
      <c r="H15" t="s">
        <v>614</v>
      </c>
      <c r="I15" t="s">
        <v>719</v>
      </c>
      <c r="J15" t="s">
        <v>661</v>
      </c>
      <c r="K15" t="str">
        <f>CONCATENATE("M104 S",NozzleTemp," ;set extruder target temp")</f>
        <v>M104 S210 ;set extruder target temp</v>
      </c>
      <c r="L15" t="s">
        <v>608</v>
      </c>
      <c r="M15" t="s">
        <v>809</v>
      </c>
      <c r="N15" t="str">
        <f>CONCATENATE("M190 S",BedTemp)</f>
        <v>M190 S60</v>
      </c>
    </row>
    <row r="16" spans="1:14" x14ac:dyDescent="0.45">
      <c r="B16" t="s">
        <v>133</v>
      </c>
      <c r="C16" t="str">
        <f>CONCATENATE("M140 S",BedTemp)</f>
        <v>M140 S60</v>
      </c>
      <c r="D16" t="str">
        <f>CONCATENATE("M140 S",BedTemp)</f>
        <v>M140 S60</v>
      </c>
      <c r="E16" t="str">
        <f>CONCATENATE("M140 S",BedTemp)</f>
        <v>M140 S60</v>
      </c>
      <c r="F16" t="s">
        <v>562</v>
      </c>
      <c r="G16" t="str">
        <f>CONCATENATE("M140 S",BedTemp)</f>
        <v>M140 S60</v>
      </c>
      <c r="H16" t="s">
        <v>603</v>
      </c>
      <c r="I16" t="s">
        <v>707</v>
      </c>
      <c r="J16" t="s">
        <v>662</v>
      </c>
      <c r="K16" t="str">
        <f>CONCATENATE("M190 S",BedTemp," ;wait till bed temp reaches target temp")</f>
        <v>M190 S60 ;wait till bed temp reaches target temp</v>
      </c>
      <c r="L16" t="s">
        <v>759</v>
      </c>
      <c r="M16" t="s">
        <v>810</v>
      </c>
      <c r="N16" t="str">
        <f>CONCATENATE("M109 S",NozzleTemp)</f>
        <v>M109 S210</v>
      </c>
    </row>
    <row r="17" spans="2:14" x14ac:dyDescent="0.45">
      <c r="B17" t="s">
        <v>91</v>
      </c>
      <c r="C17" t="s">
        <v>445</v>
      </c>
      <c r="D17" t="s">
        <v>445</v>
      </c>
      <c r="E17" t="s">
        <v>445</v>
      </c>
      <c r="F17" t="str">
        <f>CONCATENATE("M190 S",BedTemp)</f>
        <v>M190 S60</v>
      </c>
      <c r="G17" t="str">
        <f>CONCATENATE("M104 T0 S",NozzleTemp)</f>
        <v>M104 T0 S210</v>
      </c>
      <c r="J17" t="s">
        <v>663</v>
      </c>
      <c r="K17" t="str">
        <f>CONCATENATE("M109 S",NozzleTemp," ;wait till extruder reaches target temp")</f>
        <v>M109 S210 ;wait till extruder reaches target temp</v>
      </c>
      <c r="L17" t="s">
        <v>606</v>
      </c>
      <c r="M17" t="s">
        <v>811</v>
      </c>
      <c r="N17" t="s">
        <v>846</v>
      </c>
    </row>
    <row r="18" spans="2:14" x14ac:dyDescent="0.45">
      <c r="B18" t="s">
        <v>156</v>
      </c>
      <c r="C18" t="str">
        <f>CONCATENATE("M190 S",BedTemp)</f>
        <v>M190 S60</v>
      </c>
      <c r="D18" t="str">
        <f>CONCATENATE("M190 S",BedTemp)</f>
        <v>M190 S60</v>
      </c>
      <c r="E18" t="str">
        <f>CONCATENATE("M190 S",BedTemp)</f>
        <v>M190 S60</v>
      </c>
      <c r="F18" t="s">
        <v>563</v>
      </c>
      <c r="G18" t="str">
        <f>CONCATENATE("M109 T0 S",NozzleTemp)</f>
        <v>M109 T0 S210</v>
      </c>
      <c r="H18" t="s">
        <v>604</v>
      </c>
      <c r="I18" t="s">
        <v>606</v>
      </c>
      <c r="J18" t="s">
        <v>664</v>
      </c>
      <c r="K18" t="s">
        <v>748</v>
      </c>
      <c r="L18" t="s">
        <v>760</v>
      </c>
      <c r="M18" t="s">
        <v>812</v>
      </c>
      <c r="N18" t="s">
        <v>847</v>
      </c>
    </row>
    <row r="19" spans="2:14" x14ac:dyDescent="0.45">
      <c r="B19" t="s">
        <v>157</v>
      </c>
      <c r="C19" t="str">
        <f>CONCATENATE("M104 S",NozzleTemp)</f>
        <v>M104 S210</v>
      </c>
      <c r="D19" t="str">
        <f>CONCATENATE("M104 S",NozzleTemp)</f>
        <v>M104 S210</v>
      </c>
      <c r="E19" t="str">
        <f>CONCATENATE("M104 S",NozzleTemp)</f>
        <v>M104 S210</v>
      </c>
      <c r="F19" t="s">
        <v>564</v>
      </c>
      <c r="G19" t="s">
        <v>606</v>
      </c>
      <c r="H19" t="s">
        <v>605</v>
      </c>
      <c r="J19" t="s">
        <v>665</v>
      </c>
      <c r="L19" t="str">
        <f>CONCATENATE("M190 S",BedTemp)</f>
        <v>M190 S60</v>
      </c>
      <c r="M19" t="s">
        <v>813</v>
      </c>
      <c r="N19" t="s">
        <v>848</v>
      </c>
    </row>
    <row r="20" spans="2:14" x14ac:dyDescent="0.45">
      <c r="C20" t="s">
        <v>445</v>
      </c>
      <c r="D20" t="s">
        <v>445</v>
      </c>
      <c r="E20" t="s">
        <v>445</v>
      </c>
      <c r="F20" t="str">
        <f>CONCATENATE("M104 S",NozzleTemp)</f>
        <v>M104 S210</v>
      </c>
      <c r="G20" t="str">
        <f>CONCATENATE("M190 S",BedTemp)</f>
        <v>M190 S60</v>
      </c>
      <c r="H20" t="str">
        <f>CONCATENATE("M140 S",BedTemp)</f>
        <v>M140 S60</v>
      </c>
      <c r="I20" t="str">
        <f>CONCATENATE("M140 S",BedTemp)</f>
        <v>M140 S60</v>
      </c>
      <c r="K20" t="s">
        <v>749</v>
      </c>
      <c r="L20" t="s">
        <v>761</v>
      </c>
      <c r="M20" t="s">
        <v>814</v>
      </c>
      <c r="N20" t="s">
        <v>849</v>
      </c>
    </row>
    <row r="21" spans="2:14" x14ac:dyDescent="0.45">
      <c r="B21" t="s">
        <v>158</v>
      </c>
      <c r="C21" t="str">
        <f>CONCATENATE("M109 S",NozzleTemp)</f>
        <v>M109 S210</v>
      </c>
      <c r="D21" t="str">
        <f>CONCATENATE("M109 S",NozzleTemp)</f>
        <v>M109 S210</v>
      </c>
      <c r="E21" t="str">
        <f>CONCATENATE("M109 S",NozzleTemp)</f>
        <v>M109 S210</v>
      </c>
      <c r="F21" t="s">
        <v>565</v>
      </c>
      <c r="G21" t="s">
        <v>730</v>
      </c>
      <c r="H21" t="str">
        <f>CONCATENATE("M104 T0 S",NozzleTemp)</f>
        <v>M104 T0 S210</v>
      </c>
      <c r="I21" t="str">
        <f>CONCATENATE("M104 S",NozzleTemp, " T0")</f>
        <v>M104 S210 T0</v>
      </c>
      <c r="J21" t="s">
        <v>666</v>
      </c>
      <c r="K21" t="s">
        <v>750</v>
      </c>
      <c r="L21" t="str">
        <f>CONCATENATE("M106 S",FanSpeed, " ; set fan speed")</f>
        <v>M106 S255 ; set fan speed</v>
      </c>
      <c r="M21" t="s">
        <v>815</v>
      </c>
      <c r="N21" t="s">
        <v>850</v>
      </c>
    </row>
    <row r="22" spans="2:14" x14ac:dyDescent="0.45">
      <c r="C22" t="s">
        <v>107</v>
      </c>
      <c r="D22" t="s">
        <v>107</v>
      </c>
      <c r="E22" t="s">
        <v>107</v>
      </c>
      <c r="F22" t="s">
        <v>566</v>
      </c>
      <c r="G22" t="s">
        <v>537</v>
      </c>
      <c r="H22" t="str">
        <f>CONCATENATE("M104 T1 S",NozzleTemp)</f>
        <v>M104 T1 S210</v>
      </c>
      <c r="I22" t="str">
        <f>CONCATENATE("M104 S",NozzleTemp, " T2")</f>
        <v>M104 S210 T2</v>
      </c>
      <c r="L22" t="s">
        <v>762</v>
      </c>
      <c r="M22" t="s">
        <v>816</v>
      </c>
    </row>
    <row r="23" spans="2:14" x14ac:dyDescent="0.45">
      <c r="B23" t="str">
        <f>CONCATENATE("M140 S",BedTemp)</f>
        <v>M140 S60</v>
      </c>
      <c r="F23" t="s">
        <v>567</v>
      </c>
      <c r="G23" t="s">
        <v>731</v>
      </c>
      <c r="H23" t="str">
        <f>CONCATENATE("M109 T0 S",NozzleTemp)</f>
        <v>M109 T0 S210</v>
      </c>
      <c r="I23" t="str">
        <f>CONCATENATE("M190 S",BedTemp)</f>
        <v>M190 S60</v>
      </c>
      <c r="J23" t="s">
        <v>636</v>
      </c>
      <c r="K23" t="s">
        <v>751</v>
      </c>
      <c r="L23" t="s">
        <v>637</v>
      </c>
      <c r="M23" t="s">
        <v>817</v>
      </c>
      <c r="N23" t="s">
        <v>851</v>
      </c>
    </row>
    <row r="24" spans="2:14" x14ac:dyDescent="0.45">
      <c r="B24" t="str">
        <f>CONCATENATE("M104 S",NozzleTemp)</f>
        <v>M104 S210</v>
      </c>
      <c r="D24" t="s">
        <v>452</v>
      </c>
      <c r="E24" t="s">
        <v>507</v>
      </c>
      <c r="F24" t="str">
        <f>CONCATENATE("M109 S",NozzleTemp)</f>
        <v>M109 S210</v>
      </c>
      <c r="G24" t="s">
        <v>92</v>
      </c>
      <c r="H24" t="str">
        <f>CONCATENATE("M109 T1 S",NozzleTemp)</f>
        <v>M109 T1 S210</v>
      </c>
      <c r="I24" t="str">
        <f>CONCATENATE("M109 S",NozzleTemp," T0")</f>
        <v>M109 S210 T0</v>
      </c>
      <c r="L24" t="s">
        <v>763</v>
      </c>
      <c r="M24" t="s">
        <v>818</v>
      </c>
      <c r="N24" t="s">
        <v>852</v>
      </c>
    </row>
    <row r="25" spans="2:14" x14ac:dyDescent="0.45">
      <c r="B25" t="str">
        <f>CONCATENATE("M109 S",NozzleTemp)</f>
        <v>M109 S210</v>
      </c>
      <c r="C25" t="s">
        <v>446</v>
      </c>
      <c r="D25" t="s">
        <v>152</v>
      </c>
      <c r="E25" t="s">
        <v>508</v>
      </c>
      <c r="G25" t="s">
        <v>629</v>
      </c>
      <c r="H25" t="s">
        <v>606</v>
      </c>
      <c r="I25" t="str">
        <f>CONCATENATE("M109 S",NozzleTemp," T2")</f>
        <v>M109 S210 T2</v>
      </c>
      <c r="J25" t="s">
        <v>107</v>
      </c>
      <c r="M25" t="s">
        <v>819</v>
      </c>
      <c r="N25" t="s">
        <v>853</v>
      </c>
    </row>
    <row r="26" spans="2:14" x14ac:dyDescent="0.45">
      <c r="B26" t="str">
        <f>CONCATENATE("M190 S",BedTemp)</f>
        <v>M190 S60</v>
      </c>
      <c r="C26" t="s">
        <v>447</v>
      </c>
      <c r="E26" t="s">
        <v>509</v>
      </c>
      <c r="F26" t="s">
        <v>568</v>
      </c>
      <c r="G26" t="s">
        <v>732</v>
      </c>
      <c r="H26" t="str">
        <f>CONCATENATE("M190 S",BedTemp)</f>
        <v>M190 S60</v>
      </c>
      <c r="J26" t="str">
        <f>CONCATENATE("M140 S",BedTemp)</f>
        <v>M140 S60</v>
      </c>
      <c r="N26" t="s">
        <v>847</v>
      </c>
    </row>
    <row r="27" spans="2:14" x14ac:dyDescent="0.45">
      <c r="C27" t="s">
        <v>448</v>
      </c>
      <c r="E27" t="s">
        <v>510</v>
      </c>
      <c r="F27" t="s">
        <v>569</v>
      </c>
      <c r="G27" t="s">
        <v>607</v>
      </c>
      <c r="I27" t="s">
        <v>642</v>
      </c>
      <c r="J27" t="str">
        <f>CONCATENATE("M104 S",NozzleTemp)</f>
        <v>M104 S210</v>
      </c>
      <c r="M27" t="s">
        <v>825</v>
      </c>
      <c r="N27" t="s">
        <v>854</v>
      </c>
    </row>
    <row r="28" spans="2:14" x14ac:dyDescent="0.45">
      <c r="B28" t="str">
        <f>CONCATENATE("M106 S",FanSpeed, " ; set fan speed")</f>
        <v>M106 S255 ; set fan speed</v>
      </c>
      <c r="C28" t="s">
        <v>449</v>
      </c>
      <c r="D28" t="s">
        <v>446</v>
      </c>
      <c r="E28" t="s">
        <v>511</v>
      </c>
      <c r="F28" t="s">
        <v>570</v>
      </c>
      <c r="G28" t="s">
        <v>90</v>
      </c>
      <c r="I28" t="s">
        <v>622</v>
      </c>
      <c r="J28" t="s">
        <v>667</v>
      </c>
      <c r="L28" t="s">
        <v>159</v>
      </c>
      <c r="N28" t="s">
        <v>848</v>
      </c>
    </row>
    <row r="29" spans="2:14" x14ac:dyDescent="0.45">
      <c r="C29" t="s">
        <v>450</v>
      </c>
      <c r="D29" t="s">
        <v>447</v>
      </c>
      <c r="E29" t="s">
        <v>512</v>
      </c>
      <c r="F29" t="s">
        <v>571</v>
      </c>
      <c r="G29" t="s">
        <v>733</v>
      </c>
      <c r="I29" t="str">
        <f>CONCATENATE("M106 S",FanSpeed, " ; set fan speed")</f>
        <v>M106 S255 ; set fan speed</v>
      </c>
      <c r="J29" t="s">
        <v>508</v>
      </c>
      <c r="M29" t="s">
        <v>606</v>
      </c>
    </row>
    <row r="30" spans="2:14" x14ac:dyDescent="0.45">
      <c r="B30" t="s">
        <v>166</v>
      </c>
      <c r="C30" t="s">
        <v>451</v>
      </c>
      <c r="D30" t="s">
        <v>448</v>
      </c>
      <c r="E30" t="s">
        <v>513</v>
      </c>
      <c r="F30" t="s">
        <v>572</v>
      </c>
      <c r="G30" t="s">
        <v>734</v>
      </c>
      <c r="H30" t="s">
        <v>615</v>
      </c>
      <c r="J30" t="s">
        <v>668</v>
      </c>
      <c r="K30" t="s">
        <v>134</v>
      </c>
      <c r="M30" t="s">
        <v>107</v>
      </c>
      <c r="N30" t="s">
        <v>575</v>
      </c>
    </row>
    <row r="31" spans="2:14" x14ac:dyDescent="0.45">
      <c r="D31" t="s">
        <v>449</v>
      </c>
      <c r="E31" t="s">
        <v>514</v>
      </c>
      <c r="F31" t="s">
        <v>573</v>
      </c>
      <c r="G31" t="s">
        <v>90</v>
      </c>
      <c r="H31" t="s">
        <v>642</v>
      </c>
      <c r="I31" t="s">
        <v>715</v>
      </c>
      <c r="J31" t="s">
        <v>669</v>
      </c>
      <c r="K31" t="s">
        <v>752</v>
      </c>
      <c r="L31" t="s">
        <v>134</v>
      </c>
      <c r="N31" t="s">
        <v>559</v>
      </c>
    </row>
    <row r="32" spans="2:14" x14ac:dyDescent="0.45">
      <c r="B32" t="s">
        <v>99</v>
      </c>
      <c r="C32" t="s">
        <v>152</v>
      </c>
      <c r="D32" t="s">
        <v>450</v>
      </c>
      <c r="E32" t="s">
        <v>515</v>
      </c>
      <c r="F32" t="s">
        <v>565</v>
      </c>
      <c r="G32" t="s">
        <v>611</v>
      </c>
      <c r="H32" t="s">
        <v>616</v>
      </c>
      <c r="J32" t="str">
        <f>CONCATENATE("M109 S",NozzleTemp)</f>
        <v>M109 S210</v>
      </c>
      <c r="K32" t="s">
        <v>134</v>
      </c>
      <c r="N32" t="s">
        <v>855</v>
      </c>
    </row>
    <row r="33" spans="2:14" x14ac:dyDescent="0.45">
      <c r="B33" t="s">
        <v>134</v>
      </c>
      <c r="D33" t="s">
        <v>451</v>
      </c>
      <c r="E33" t="s">
        <v>516</v>
      </c>
      <c r="G33" t="s">
        <v>735</v>
      </c>
      <c r="H33" t="s">
        <v>617</v>
      </c>
      <c r="I33" t="s">
        <v>638</v>
      </c>
      <c r="J33" t="str">
        <f>CONCATENATE("M190 S",BedTemp)</f>
        <v>M190 S60</v>
      </c>
      <c r="K33" t="s">
        <v>134</v>
      </c>
      <c r="M33" t="s">
        <v>90</v>
      </c>
      <c r="N33" t="s">
        <v>90</v>
      </c>
    </row>
    <row r="34" spans="2:14" x14ac:dyDescent="0.45">
      <c r="B34" t="s">
        <v>159</v>
      </c>
      <c r="C34" t="s">
        <v>452</v>
      </c>
      <c r="E34" t="s">
        <v>517</v>
      </c>
      <c r="F34" t="s">
        <v>574</v>
      </c>
      <c r="G34" t="s">
        <v>612</v>
      </c>
      <c r="H34" t="s">
        <v>618</v>
      </c>
      <c r="I34" t="s">
        <v>639</v>
      </c>
      <c r="J34" t="s">
        <v>670</v>
      </c>
      <c r="M34" t="str">
        <f>CONCATENATE("M140 S",BedTemp)</f>
        <v>M140 S60</v>
      </c>
    </row>
    <row r="35" spans="2:14" x14ac:dyDescent="0.45">
      <c r="B35" t="s">
        <v>134</v>
      </c>
      <c r="C35" t="s">
        <v>453</v>
      </c>
      <c r="E35" t="s">
        <v>518</v>
      </c>
      <c r="F35" t="s">
        <v>575</v>
      </c>
      <c r="G35" t="str">
        <f>CONCATENATE("M106 S",FanSpeed, " ; set fan speed")</f>
        <v>M106 S255 ; set fan speed</v>
      </c>
      <c r="H35" t="s">
        <v>619</v>
      </c>
      <c r="J35" t="s">
        <v>671</v>
      </c>
      <c r="K35" t="s">
        <v>159</v>
      </c>
      <c r="M35" t="str">
        <f>CONCATENATE("M109 S",NozzleTemp)</f>
        <v>M109 S210</v>
      </c>
      <c r="N35" t="str">
        <f>CONCATENATE("M106 S",FanSpeed, " ; set fan speed")</f>
        <v>M106 S255 ; set fan speed</v>
      </c>
    </row>
    <row r="36" spans="2:14" x14ac:dyDescent="0.45">
      <c r="C36" t="s">
        <v>454</v>
      </c>
      <c r="D36" t="s">
        <v>463</v>
      </c>
      <c r="E36" t="s">
        <v>519</v>
      </c>
      <c r="F36" t="s">
        <v>559</v>
      </c>
      <c r="H36" t="s">
        <v>607</v>
      </c>
      <c r="I36" t="s">
        <v>640</v>
      </c>
      <c r="J36" t="s">
        <v>670</v>
      </c>
      <c r="M36" t="s">
        <v>820</v>
      </c>
      <c r="N36" t="s">
        <v>856</v>
      </c>
    </row>
    <row r="37" spans="2:14" x14ac:dyDescent="0.45">
      <c r="C37" t="s">
        <v>455</v>
      </c>
      <c r="D37" t="s">
        <v>464</v>
      </c>
      <c r="E37" t="s">
        <v>520</v>
      </c>
      <c r="F37" t="s">
        <v>576</v>
      </c>
      <c r="H37" t="s">
        <v>608</v>
      </c>
      <c r="J37" t="s">
        <v>672</v>
      </c>
      <c r="M37" t="s">
        <v>821</v>
      </c>
      <c r="N37" t="s">
        <v>857</v>
      </c>
    </row>
    <row r="38" spans="2:14" x14ac:dyDescent="0.45">
      <c r="C38" t="s">
        <v>456</v>
      </c>
      <c r="D38" t="s">
        <v>465</v>
      </c>
      <c r="E38" t="s">
        <v>90</v>
      </c>
      <c r="F38" t="s">
        <v>577</v>
      </c>
      <c r="H38" t="s">
        <v>90</v>
      </c>
      <c r="J38" t="s">
        <v>672</v>
      </c>
      <c r="M38" t="s">
        <v>822</v>
      </c>
      <c r="N38" t="s">
        <v>90</v>
      </c>
    </row>
    <row r="39" spans="2:14" x14ac:dyDescent="0.45">
      <c r="C39" t="s">
        <v>457</v>
      </c>
      <c r="D39" t="s">
        <v>466</v>
      </c>
      <c r="E39" t="s">
        <v>90</v>
      </c>
      <c r="G39" t="s">
        <v>736</v>
      </c>
      <c r="H39" t="s">
        <v>609</v>
      </c>
      <c r="I39" t="s">
        <v>159</v>
      </c>
      <c r="N39" t="s">
        <v>858</v>
      </c>
    </row>
    <row r="40" spans="2:14" x14ac:dyDescent="0.45">
      <c r="C40" t="s">
        <v>452</v>
      </c>
      <c r="D40" t="s">
        <v>467</v>
      </c>
      <c r="G40" t="s">
        <v>737</v>
      </c>
      <c r="H40" t="s">
        <v>90</v>
      </c>
      <c r="M40" t="str">
        <f>CONCATENATE("M106 S",FanSpeed, " ; set fan speed")</f>
        <v>M106 S255 ; set fan speed</v>
      </c>
    </row>
    <row r="41" spans="2:14" x14ac:dyDescent="0.45">
      <c r="C41" t="s">
        <v>453</v>
      </c>
      <c r="D41" t="s">
        <v>468</v>
      </c>
      <c r="E41" t="str">
        <f>CONCATENATE("M106 S",FanSpeed, " ; set fan speed")</f>
        <v>M106 S255 ; set fan speed</v>
      </c>
      <c r="F41" t="s">
        <v>565</v>
      </c>
      <c r="G41" t="s">
        <v>738</v>
      </c>
      <c r="H41" t="s">
        <v>610</v>
      </c>
      <c r="J41" t="s">
        <v>622</v>
      </c>
      <c r="N41" t="s">
        <v>859</v>
      </c>
    </row>
    <row r="42" spans="2:14" x14ac:dyDescent="0.45">
      <c r="D42" t="s">
        <v>463</v>
      </c>
      <c r="E42" t="s">
        <v>522</v>
      </c>
      <c r="H42" t="s">
        <v>606</v>
      </c>
      <c r="M42" t="s">
        <v>823</v>
      </c>
      <c r="N42" t="s">
        <v>582</v>
      </c>
    </row>
    <row r="43" spans="2:14" x14ac:dyDescent="0.45">
      <c r="C43" t="s">
        <v>90</v>
      </c>
      <c r="D43" t="s">
        <v>469</v>
      </c>
      <c r="E43" t="s">
        <v>523</v>
      </c>
      <c r="F43" t="s">
        <v>578</v>
      </c>
      <c r="G43" t="s">
        <v>159</v>
      </c>
      <c r="H43" t="s">
        <v>90</v>
      </c>
      <c r="J43" t="str">
        <f>CONCATENATE("M106 S",FanSpeed, " ; set fan speed")</f>
        <v>M106 S255 ; set fan speed</v>
      </c>
      <c r="M43" t="s">
        <v>824</v>
      </c>
      <c r="N43" t="s">
        <v>860</v>
      </c>
    </row>
    <row r="44" spans="2:14" x14ac:dyDescent="0.45">
      <c r="D44" t="s">
        <v>90</v>
      </c>
      <c r="E44" t="s">
        <v>524</v>
      </c>
      <c r="H44" t="s">
        <v>609</v>
      </c>
      <c r="N44" t="s">
        <v>861</v>
      </c>
    </row>
    <row r="45" spans="2:14" x14ac:dyDescent="0.45">
      <c r="H45" t="s">
        <v>90</v>
      </c>
      <c r="N45" t="s">
        <v>90</v>
      </c>
    </row>
    <row r="46" spans="2:14" x14ac:dyDescent="0.45">
      <c r="D46" t="str">
        <f>CONCATENATE("M106 S",FanSpeed, " ; set fan speed")</f>
        <v>M106 S255 ; set fan speed</v>
      </c>
      <c r="E46" t="s">
        <v>458</v>
      </c>
      <c r="F46" t="s">
        <v>579</v>
      </c>
      <c r="H46" t="s">
        <v>611</v>
      </c>
      <c r="J46" t="s">
        <v>458</v>
      </c>
      <c r="M46" t="s">
        <v>738</v>
      </c>
    </row>
    <row r="47" spans="2:14" x14ac:dyDescent="0.45">
      <c r="C47" t="str">
        <f>CONCATENATE("M106 S",FanSpeed, " ; set fan speed")</f>
        <v>M106 S255 ; set fan speed</v>
      </c>
      <c r="F47" t="s">
        <v>580</v>
      </c>
      <c r="H47" t="s">
        <v>519</v>
      </c>
      <c r="N47" t="s">
        <v>738</v>
      </c>
    </row>
    <row r="48" spans="2:14" x14ac:dyDescent="0.45">
      <c r="D48" t="s">
        <v>133</v>
      </c>
      <c r="E48" t="s">
        <v>133</v>
      </c>
      <c r="F48" t="s">
        <v>581</v>
      </c>
      <c r="J48" t="s">
        <v>159</v>
      </c>
      <c r="M48" t="s">
        <v>159</v>
      </c>
    </row>
    <row r="49" spans="3:14" x14ac:dyDescent="0.45">
      <c r="C49" t="s">
        <v>133</v>
      </c>
      <c r="D49" t="s">
        <v>458</v>
      </c>
      <c r="F49" t="s">
        <v>582</v>
      </c>
      <c r="H49" t="str">
        <f>CONCATENATE("M106 S",FanSpeed, " ; set fan speed")</f>
        <v>M106 S255 ; set fan speed</v>
      </c>
      <c r="N49" t="s">
        <v>862</v>
      </c>
    </row>
    <row r="50" spans="3:14" x14ac:dyDescent="0.45">
      <c r="C50" t="s">
        <v>458</v>
      </c>
      <c r="E50" t="s">
        <v>525</v>
      </c>
      <c r="F50" t="s">
        <v>583</v>
      </c>
    </row>
    <row r="51" spans="3:14" x14ac:dyDescent="0.45">
      <c r="D51" t="s">
        <v>159</v>
      </c>
      <c r="E51" t="s">
        <v>526</v>
      </c>
      <c r="H51" t="s">
        <v>458</v>
      </c>
    </row>
    <row r="52" spans="3:14" x14ac:dyDescent="0.45">
      <c r="H52" t="s">
        <v>622</v>
      </c>
    </row>
    <row r="53" spans="3:14" x14ac:dyDescent="0.45">
      <c r="E53" t="s">
        <v>159</v>
      </c>
      <c r="F53" t="str">
        <f>CONCATENATE("M106 S",FanSpeed, " ; set fan speed")</f>
        <v>M106 S255 ; set fan speed</v>
      </c>
      <c r="J53" t="s">
        <v>134</v>
      </c>
      <c r="N53" t="s">
        <v>134</v>
      </c>
    </row>
    <row r="54" spans="3:14" x14ac:dyDescent="0.45">
      <c r="C54" t="s">
        <v>159</v>
      </c>
      <c r="H54" t="s">
        <v>612</v>
      </c>
    </row>
    <row r="55" spans="3:14" x14ac:dyDescent="0.45">
      <c r="F55" t="s">
        <v>159</v>
      </c>
      <c r="H55" t="s">
        <v>159</v>
      </c>
    </row>
    <row r="57" spans="3:14" x14ac:dyDescent="0.45">
      <c r="E57" t="s">
        <v>134</v>
      </c>
    </row>
    <row r="58" spans="3:14" x14ac:dyDescent="0.45">
      <c r="C58" t="s">
        <v>134</v>
      </c>
      <c r="F58" t="s">
        <v>134</v>
      </c>
      <c r="H58" t="s">
        <v>134</v>
      </c>
    </row>
    <row r="62" spans="3:14" x14ac:dyDescent="0.45">
      <c r="C62" t="s">
        <v>134</v>
      </c>
      <c r="D62" t="s">
        <v>134</v>
      </c>
    </row>
  </sheetData>
  <phoneticPr fontId="9"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D2" sqref="D2:D33"/>
    </sheetView>
  </sheetViews>
  <sheetFormatPr defaultRowHeight="14.25" x14ac:dyDescent="0.45"/>
  <cols>
    <col min="4" max="4" width="11" customWidth="1"/>
    <col min="7" max="8" width="28.265625" customWidth="1"/>
    <col min="12" max="12" width="24.73046875" bestFit="1" customWidth="1"/>
    <col min="13" max="13" width="47.59765625" customWidth="1"/>
    <col min="14" max="14" width="9.73046875" customWidth="1"/>
  </cols>
  <sheetData>
    <row r="1" spans="1:14" x14ac:dyDescent="0.45">
      <c r="A1" t="s">
        <v>135</v>
      </c>
      <c r="B1" t="s">
        <v>163</v>
      </c>
      <c r="C1" t="s">
        <v>434</v>
      </c>
      <c r="D1" t="s">
        <v>459</v>
      </c>
      <c r="E1" t="s">
        <v>503</v>
      </c>
      <c r="F1" t="s">
        <v>553</v>
      </c>
      <c r="G1" t="s">
        <v>593</v>
      </c>
      <c r="H1" t="s">
        <v>594</v>
      </c>
      <c r="I1" t="s">
        <v>641</v>
      </c>
      <c r="J1" t="s">
        <v>673</v>
      </c>
      <c r="K1" t="s">
        <v>740</v>
      </c>
      <c r="L1" t="s">
        <v>764</v>
      </c>
      <c r="M1" t="s">
        <v>797</v>
      </c>
      <c r="N1" t="s">
        <v>826</v>
      </c>
    </row>
    <row r="2" spans="1:14" x14ac:dyDescent="0.45">
      <c r="N2" t="s">
        <v>134</v>
      </c>
    </row>
    <row r="3" spans="1:14" x14ac:dyDescent="0.45">
      <c r="B3" t="s">
        <v>146</v>
      </c>
      <c r="C3" t="s">
        <v>146</v>
      </c>
      <c r="D3" t="s">
        <v>146</v>
      </c>
      <c r="E3" t="s">
        <v>146</v>
      </c>
      <c r="F3" t="s">
        <v>146</v>
      </c>
      <c r="G3" t="s">
        <v>146</v>
      </c>
      <c r="H3" t="s">
        <v>146</v>
      </c>
      <c r="I3" t="s">
        <v>146</v>
      </c>
      <c r="J3" t="s">
        <v>146</v>
      </c>
      <c r="K3" t="s">
        <v>146</v>
      </c>
      <c r="L3" t="s">
        <v>146</v>
      </c>
      <c r="M3" t="s">
        <v>146</v>
      </c>
    </row>
    <row r="4" spans="1:14" x14ac:dyDescent="0.45">
      <c r="G4" t="s">
        <v>134</v>
      </c>
    </row>
    <row r="5" spans="1:14" x14ac:dyDescent="0.45">
      <c r="B5" t="s">
        <v>167</v>
      </c>
      <c r="E5" t="s">
        <v>521</v>
      </c>
      <c r="H5" t="s">
        <v>613</v>
      </c>
    </row>
    <row r="6" spans="1:14" x14ac:dyDescent="0.45">
      <c r="B6" t="s">
        <v>92</v>
      </c>
      <c r="C6" t="s">
        <v>470</v>
      </c>
      <c r="D6" t="s">
        <v>470</v>
      </c>
      <c r="E6" t="s">
        <v>471</v>
      </c>
      <c r="F6" t="s">
        <v>584</v>
      </c>
      <c r="G6" t="s">
        <v>613</v>
      </c>
      <c r="H6" t="s">
        <v>630</v>
      </c>
      <c r="N6" t="s">
        <v>827</v>
      </c>
    </row>
    <row r="7" spans="1:14" x14ac:dyDescent="0.45">
      <c r="C7" t="s">
        <v>471</v>
      </c>
      <c r="D7" t="s">
        <v>471</v>
      </c>
      <c r="E7" t="s">
        <v>527</v>
      </c>
      <c r="G7" t="s">
        <v>90</v>
      </c>
      <c r="I7" t="s">
        <v>643</v>
      </c>
      <c r="J7" t="s">
        <v>705</v>
      </c>
      <c r="K7" t="s">
        <v>674</v>
      </c>
      <c r="L7" t="s">
        <v>765</v>
      </c>
      <c r="M7" t="s">
        <v>773</v>
      </c>
      <c r="N7" t="s">
        <v>828</v>
      </c>
    </row>
    <row r="8" spans="1:14" x14ac:dyDescent="0.45">
      <c r="B8" t="s">
        <v>144</v>
      </c>
      <c r="C8" t="s">
        <v>92</v>
      </c>
      <c r="D8" t="s">
        <v>92</v>
      </c>
      <c r="E8" t="s">
        <v>528</v>
      </c>
      <c r="G8" t="s">
        <v>644</v>
      </c>
      <c r="I8" t="s">
        <v>644</v>
      </c>
      <c r="K8" t="s">
        <v>508</v>
      </c>
      <c r="L8" t="s">
        <v>766</v>
      </c>
      <c r="N8" t="s">
        <v>829</v>
      </c>
    </row>
    <row r="9" spans="1:14" x14ac:dyDescent="0.45">
      <c r="B9" t="s">
        <v>107</v>
      </c>
      <c r="C9" t="s">
        <v>472</v>
      </c>
      <c r="D9" t="s">
        <v>472</v>
      </c>
      <c r="E9" t="s">
        <v>92</v>
      </c>
      <c r="F9" t="s">
        <v>472</v>
      </c>
      <c r="G9" t="s">
        <v>739</v>
      </c>
      <c r="H9" t="s">
        <v>623</v>
      </c>
      <c r="I9" t="s">
        <v>645</v>
      </c>
      <c r="J9" t="s">
        <v>471</v>
      </c>
      <c r="K9" t="s">
        <v>753</v>
      </c>
      <c r="L9" t="s">
        <v>606</v>
      </c>
      <c r="M9" t="s">
        <v>774</v>
      </c>
      <c r="N9" t="s">
        <v>92</v>
      </c>
    </row>
    <row r="10" spans="1:14" x14ac:dyDescent="0.45">
      <c r="B10" t="s">
        <v>108</v>
      </c>
      <c r="C10" t="s">
        <v>473</v>
      </c>
      <c r="D10" t="s">
        <v>473</v>
      </c>
      <c r="E10" t="s">
        <v>529</v>
      </c>
      <c r="F10" t="s">
        <v>585</v>
      </c>
      <c r="G10" t="s">
        <v>537</v>
      </c>
      <c r="H10" t="s">
        <v>624</v>
      </c>
      <c r="I10" t="s">
        <v>537</v>
      </c>
      <c r="J10" t="s">
        <v>92</v>
      </c>
      <c r="K10" t="s">
        <v>536</v>
      </c>
      <c r="L10" t="s">
        <v>767</v>
      </c>
      <c r="N10" t="s">
        <v>830</v>
      </c>
    </row>
    <row r="11" spans="1:14" x14ac:dyDescent="0.45">
      <c r="B11" t="s">
        <v>134</v>
      </c>
      <c r="C11" t="s">
        <v>474</v>
      </c>
      <c r="D11" t="s">
        <v>474</v>
      </c>
      <c r="E11" t="s">
        <v>530</v>
      </c>
      <c r="F11" t="s">
        <v>477</v>
      </c>
      <c r="G11" t="s">
        <v>623</v>
      </c>
      <c r="H11" t="s">
        <v>90</v>
      </c>
      <c r="I11" t="s">
        <v>646</v>
      </c>
      <c r="J11" t="s">
        <v>674</v>
      </c>
      <c r="K11" t="s">
        <v>674</v>
      </c>
      <c r="L11" t="s">
        <v>608</v>
      </c>
      <c r="N11" t="s">
        <v>530</v>
      </c>
    </row>
    <row r="12" spans="1:14" x14ac:dyDescent="0.45">
      <c r="B12" t="s">
        <v>134</v>
      </c>
      <c r="C12" t="s">
        <v>475</v>
      </c>
      <c r="D12" t="s">
        <v>475</v>
      </c>
      <c r="E12" t="s">
        <v>531</v>
      </c>
      <c r="G12" t="s">
        <v>90</v>
      </c>
      <c r="H12" t="s">
        <v>625</v>
      </c>
      <c r="I12" t="s">
        <v>647</v>
      </c>
      <c r="J12" t="s">
        <v>675</v>
      </c>
      <c r="K12" t="s">
        <v>754</v>
      </c>
      <c r="L12" t="s">
        <v>768</v>
      </c>
      <c r="M12" t="s">
        <v>471</v>
      </c>
      <c r="N12" t="s">
        <v>531</v>
      </c>
    </row>
    <row r="13" spans="1:14" x14ac:dyDescent="0.45">
      <c r="B13" t="s">
        <v>134</v>
      </c>
      <c r="C13" t="s">
        <v>476</v>
      </c>
      <c r="D13" t="s">
        <v>476</v>
      </c>
      <c r="E13" t="s">
        <v>92</v>
      </c>
      <c r="F13" t="s">
        <v>586</v>
      </c>
      <c r="G13" t="s">
        <v>625</v>
      </c>
      <c r="H13" t="s">
        <v>623</v>
      </c>
      <c r="J13" t="s">
        <v>508</v>
      </c>
      <c r="K13" t="s">
        <v>755</v>
      </c>
      <c r="L13" t="s">
        <v>613</v>
      </c>
      <c r="M13" t="s">
        <v>522</v>
      </c>
      <c r="N13" t="s">
        <v>831</v>
      </c>
    </row>
    <row r="14" spans="1:14" x14ac:dyDescent="0.45">
      <c r="C14" t="s">
        <v>477</v>
      </c>
      <c r="D14" t="s">
        <v>477</v>
      </c>
      <c r="E14" t="s">
        <v>532</v>
      </c>
      <c r="G14" t="s">
        <v>626</v>
      </c>
      <c r="H14" t="s">
        <v>624</v>
      </c>
      <c r="J14" t="s">
        <v>670</v>
      </c>
      <c r="K14" t="s">
        <v>107</v>
      </c>
      <c r="M14" t="s">
        <v>528</v>
      </c>
      <c r="N14" t="s">
        <v>832</v>
      </c>
    </row>
    <row r="15" spans="1:14" x14ac:dyDescent="0.45">
      <c r="B15" t="s">
        <v>100</v>
      </c>
      <c r="E15" t="s">
        <v>533</v>
      </c>
      <c r="F15" t="s">
        <v>587</v>
      </c>
      <c r="G15" t="s">
        <v>623</v>
      </c>
      <c r="H15" t="s">
        <v>626</v>
      </c>
      <c r="I15" t="s">
        <v>648</v>
      </c>
      <c r="J15" t="s">
        <v>533</v>
      </c>
      <c r="K15" t="s">
        <v>108</v>
      </c>
      <c r="L15" t="s">
        <v>606</v>
      </c>
      <c r="M15" t="s">
        <v>92</v>
      </c>
    </row>
    <row r="16" spans="1:14" x14ac:dyDescent="0.45">
      <c r="B16" t="s">
        <v>101</v>
      </c>
      <c r="C16" t="s">
        <v>478</v>
      </c>
      <c r="D16" t="s">
        <v>492</v>
      </c>
      <c r="E16" t="s">
        <v>552</v>
      </c>
      <c r="F16" t="s">
        <v>588</v>
      </c>
      <c r="G16" t="s">
        <v>483</v>
      </c>
      <c r="H16" t="s">
        <v>627</v>
      </c>
      <c r="I16" t="s">
        <v>649</v>
      </c>
      <c r="J16" t="s">
        <v>676</v>
      </c>
      <c r="L16" t="s">
        <v>644</v>
      </c>
      <c r="M16" t="s">
        <v>775</v>
      </c>
      <c r="N16" t="s">
        <v>833</v>
      </c>
    </row>
    <row r="17" spans="2:14" x14ac:dyDescent="0.45">
      <c r="B17" t="s">
        <v>102</v>
      </c>
      <c r="C17" t="s">
        <v>479</v>
      </c>
      <c r="D17" t="s">
        <v>479</v>
      </c>
      <c r="E17" t="s">
        <v>534</v>
      </c>
      <c r="F17" t="s">
        <v>589</v>
      </c>
      <c r="G17" t="s">
        <v>471</v>
      </c>
      <c r="H17" t="s">
        <v>471</v>
      </c>
      <c r="I17" t="s">
        <v>650</v>
      </c>
      <c r="J17" t="s">
        <v>677</v>
      </c>
      <c r="L17" t="s">
        <v>769</v>
      </c>
      <c r="M17" t="s">
        <v>776</v>
      </c>
      <c r="N17" t="s">
        <v>834</v>
      </c>
    </row>
    <row r="18" spans="2:14" x14ac:dyDescent="0.45">
      <c r="B18" t="s">
        <v>103</v>
      </c>
      <c r="C18" t="s">
        <v>480</v>
      </c>
      <c r="D18" t="s">
        <v>480</v>
      </c>
      <c r="E18" t="s">
        <v>535</v>
      </c>
      <c r="F18" t="s">
        <v>590</v>
      </c>
      <c r="G18" t="s">
        <v>92</v>
      </c>
      <c r="H18" t="s">
        <v>92</v>
      </c>
      <c r="J18" t="s">
        <v>107</v>
      </c>
      <c r="L18" t="s">
        <v>770</v>
      </c>
      <c r="M18" t="s">
        <v>777</v>
      </c>
      <c r="N18" t="s">
        <v>835</v>
      </c>
    </row>
    <row r="19" spans="2:14" x14ac:dyDescent="0.45">
      <c r="B19" t="s">
        <v>104</v>
      </c>
      <c r="C19" t="s">
        <v>481</v>
      </c>
      <c r="D19" t="s">
        <v>481</v>
      </c>
      <c r="E19" t="s">
        <v>536</v>
      </c>
      <c r="F19" t="s">
        <v>591</v>
      </c>
      <c r="G19" t="s">
        <v>644</v>
      </c>
      <c r="H19" t="s">
        <v>472</v>
      </c>
      <c r="J19" t="s">
        <v>483</v>
      </c>
      <c r="L19" t="s">
        <v>537</v>
      </c>
      <c r="M19" t="s">
        <v>778</v>
      </c>
      <c r="N19" t="s">
        <v>836</v>
      </c>
    </row>
    <row r="20" spans="2:14" x14ac:dyDescent="0.45">
      <c r="B20" t="s">
        <v>105</v>
      </c>
      <c r="E20" t="s">
        <v>537</v>
      </c>
      <c r="F20" t="s">
        <v>531</v>
      </c>
      <c r="G20" t="s">
        <v>629</v>
      </c>
      <c r="H20" t="s">
        <v>628</v>
      </c>
      <c r="J20" t="s">
        <v>108</v>
      </c>
      <c r="L20" t="s">
        <v>771</v>
      </c>
      <c r="M20" t="s">
        <v>107</v>
      </c>
      <c r="N20" t="s">
        <v>837</v>
      </c>
    </row>
    <row r="21" spans="2:14" x14ac:dyDescent="0.45">
      <c r="B21" t="s">
        <v>106</v>
      </c>
      <c r="C21" t="s">
        <v>482</v>
      </c>
      <c r="D21" t="s">
        <v>482</v>
      </c>
      <c r="E21" t="s">
        <v>538</v>
      </c>
      <c r="F21" t="s">
        <v>592</v>
      </c>
      <c r="G21" t="s">
        <v>144</v>
      </c>
      <c r="H21" t="s">
        <v>631</v>
      </c>
      <c r="L21" t="s">
        <v>772</v>
      </c>
      <c r="M21" t="s">
        <v>483</v>
      </c>
      <c r="N21" t="s">
        <v>835</v>
      </c>
    </row>
    <row r="22" spans="2:14" x14ac:dyDescent="0.45">
      <c r="E22" t="s">
        <v>107</v>
      </c>
      <c r="G22" t="s">
        <v>537</v>
      </c>
      <c r="H22" t="s">
        <v>477</v>
      </c>
      <c r="J22" t="s">
        <v>678</v>
      </c>
      <c r="M22" t="s">
        <v>627</v>
      </c>
      <c r="N22" t="s">
        <v>838</v>
      </c>
    </row>
    <row r="23" spans="2:14" x14ac:dyDescent="0.45">
      <c r="B23" t="s">
        <v>108</v>
      </c>
      <c r="C23" t="s">
        <v>107</v>
      </c>
      <c r="D23" t="s">
        <v>107</v>
      </c>
      <c r="E23" t="s">
        <v>483</v>
      </c>
      <c r="H23" t="s">
        <v>632</v>
      </c>
      <c r="J23" t="s">
        <v>679</v>
      </c>
      <c r="M23" t="s">
        <v>108</v>
      </c>
      <c r="N23" t="s">
        <v>835</v>
      </c>
    </row>
    <row r="24" spans="2:14" x14ac:dyDescent="0.45">
      <c r="B24" t="s">
        <v>109</v>
      </c>
      <c r="C24" t="s">
        <v>483</v>
      </c>
      <c r="D24" t="s">
        <v>483</v>
      </c>
      <c r="E24" t="s">
        <v>108</v>
      </c>
      <c r="H24" t="s">
        <v>629</v>
      </c>
      <c r="J24" t="s">
        <v>680</v>
      </c>
      <c r="M24" t="s">
        <v>779</v>
      </c>
    </row>
    <row r="25" spans="2:14" x14ac:dyDescent="0.45">
      <c r="B25" t="s">
        <v>110</v>
      </c>
      <c r="C25" t="s">
        <v>108</v>
      </c>
      <c r="D25" t="s">
        <v>108</v>
      </c>
      <c r="E25" t="s">
        <v>539</v>
      </c>
      <c r="J25" t="s">
        <v>681</v>
      </c>
      <c r="M25" t="s">
        <v>780</v>
      </c>
    </row>
    <row r="26" spans="2:14" x14ac:dyDescent="0.45">
      <c r="B26" t="s">
        <v>111</v>
      </c>
      <c r="C26" t="s">
        <v>484</v>
      </c>
      <c r="D26" t="s">
        <v>493</v>
      </c>
      <c r="E26" t="s">
        <v>540</v>
      </c>
      <c r="J26" t="s">
        <v>682</v>
      </c>
      <c r="M26" t="s">
        <v>781</v>
      </c>
    </row>
    <row r="27" spans="2:14" x14ac:dyDescent="0.45">
      <c r="B27" t="s">
        <v>112</v>
      </c>
      <c r="C27" t="s">
        <v>485</v>
      </c>
      <c r="D27" t="s">
        <v>494</v>
      </c>
      <c r="E27" t="s">
        <v>541</v>
      </c>
      <c r="H27" t="s">
        <v>107</v>
      </c>
      <c r="J27" t="s">
        <v>683</v>
      </c>
      <c r="M27" t="s">
        <v>782</v>
      </c>
    </row>
    <row r="28" spans="2:14" x14ac:dyDescent="0.45">
      <c r="B28" t="s">
        <v>113</v>
      </c>
      <c r="C28" t="s">
        <v>486</v>
      </c>
      <c r="D28" t="s">
        <v>495</v>
      </c>
      <c r="E28" t="s">
        <v>542</v>
      </c>
      <c r="J28" t="s">
        <v>684</v>
      </c>
      <c r="M28" t="s">
        <v>783</v>
      </c>
    </row>
    <row r="29" spans="2:14" x14ac:dyDescent="0.45">
      <c r="B29" t="s">
        <v>114</v>
      </c>
      <c r="C29" t="s">
        <v>487</v>
      </c>
      <c r="D29" t="s">
        <v>496</v>
      </c>
      <c r="E29" t="s">
        <v>543</v>
      </c>
      <c r="J29" t="s">
        <v>685</v>
      </c>
      <c r="M29" t="s">
        <v>784</v>
      </c>
    </row>
    <row r="30" spans="2:14" x14ac:dyDescent="0.45">
      <c r="B30" t="s">
        <v>115</v>
      </c>
      <c r="C30" t="s">
        <v>488</v>
      </c>
      <c r="D30" t="s">
        <v>497</v>
      </c>
      <c r="E30" t="s">
        <v>544</v>
      </c>
      <c r="H30" t="s">
        <v>536</v>
      </c>
      <c r="J30" t="s">
        <v>686</v>
      </c>
      <c r="M30" t="s">
        <v>785</v>
      </c>
    </row>
    <row r="31" spans="2:14" x14ac:dyDescent="0.45">
      <c r="B31" t="s">
        <v>116</v>
      </c>
      <c r="C31" t="s">
        <v>489</v>
      </c>
      <c r="D31" t="s">
        <v>498</v>
      </c>
      <c r="E31" t="s">
        <v>545</v>
      </c>
      <c r="H31" t="s">
        <v>642</v>
      </c>
      <c r="J31" t="s">
        <v>687</v>
      </c>
      <c r="M31" t="s">
        <v>786</v>
      </c>
    </row>
    <row r="32" spans="2:14" x14ac:dyDescent="0.45">
      <c r="C32" t="s">
        <v>490</v>
      </c>
      <c r="D32" t="s">
        <v>499</v>
      </c>
      <c r="E32" t="s">
        <v>546</v>
      </c>
      <c r="J32" t="s">
        <v>688</v>
      </c>
      <c r="M32" t="s">
        <v>787</v>
      </c>
    </row>
    <row r="33" spans="2:13" x14ac:dyDescent="0.45">
      <c r="B33" t="s">
        <v>145</v>
      </c>
      <c r="C33" t="s">
        <v>491</v>
      </c>
      <c r="D33" t="s">
        <v>500</v>
      </c>
      <c r="E33" t="s">
        <v>547</v>
      </c>
      <c r="J33" t="s">
        <v>689</v>
      </c>
      <c r="M33" t="s">
        <v>788</v>
      </c>
    </row>
    <row r="34" spans="2:13" x14ac:dyDescent="0.45">
      <c r="E34" t="s">
        <v>548</v>
      </c>
      <c r="J34" t="s">
        <v>690</v>
      </c>
      <c r="M34" t="s">
        <v>789</v>
      </c>
    </row>
    <row r="35" spans="2:13" x14ac:dyDescent="0.45">
      <c r="E35" t="s">
        <v>549</v>
      </c>
      <c r="J35" t="s">
        <v>691</v>
      </c>
      <c r="M35" t="s">
        <v>790</v>
      </c>
    </row>
    <row r="36" spans="2:13" x14ac:dyDescent="0.45">
      <c r="E36" t="s">
        <v>550</v>
      </c>
      <c r="J36" t="s">
        <v>692</v>
      </c>
      <c r="M36" t="s">
        <v>791</v>
      </c>
    </row>
    <row r="37" spans="2:13" x14ac:dyDescent="0.45">
      <c r="E37" t="s">
        <v>551</v>
      </c>
      <c r="J37" t="s">
        <v>693</v>
      </c>
      <c r="M37" t="s">
        <v>792</v>
      </c>
    </row>
    <row r="38" spans="2:13" x14ac:dyDescent="0.45">
      <c r="J38" t="s">
        <v>694</v>
      </c>
      <c r="M38" t="s">
        <v>793</v>
      </c>
    </row>
    <row r="39" spans="2:13" x14ac:dyDescent="0.45">
      <c r="J39" t="s">
        <v>695</v>
      </c>
      <c r="M39" t="s">
        <v>794</v>
      </c>
    </row>
    <row r="40" spans="2:13" x14ac:dyDescent="0.45">
      <c r="J40" t="s">
        <v>696</v>
      </c>
      <c r="M40" t="s">
        <v>795</v>
      </c>
    </row>
    <row r="41" spans="2:13" x14ac:dyDescent="0.45">
      <c r="J41" t="s">
        <v>697</v>
      </c>
      <c r="M41" t="s">
        <v>796</v>
      </c>
    </row>
    <row r="42" spans="2:13" x14ac:dyDescent="0.45">
      <c r="J42" t="s">
        <v>698</v>
      </c>
    </row>
    <row r="43" spans="2:13" x14ac:dyDescent="0.45">
      <c r="J43" t="s">
        <v>699</v>
      </c>
    </row>
    <row r="44" spans="2:13" x14ac:dyDescent="0.45">
      <c r="J44" t="s">
        <v>700</v>
      </c>
    </row>
    <row r="45" spans="2:13" x14ac:dyDescent="0.45">
      <c r="J45" t="s">
        <v>701</v>
      </c>
    </row>
    <row r="46" spans="2:13" x14ac:dyDescent="0.45">
      <c r="J46" t="s">
        <v>702</v>
      </c>
    </row>
    <row r="47" spans="2:13" x14ac:dyDescent="0.45">
      <c r="J47" t="s">
        <v>703</v>
      </c>
    </row>
    <row r="48" spans="2:13" x14ac:dyDescent="0.45">
      <c r="J48" t="s">
        <v>704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4.25" x14ac:dyDescent="0.45"/>
  <cols>
    <col min="1" max="16" width="14.73046875" bestFit="1" customWidth="1"/>
  </cols>
  <sheetData>
    <row r="1" spans="1:16" x14ac:dyDescent="0.45">
      <c r="A1" t="s">
        <v>135</v>
      </c>
      <c r="B1" t="s">
        <v>244</v>
      </c>
      <c r="C1" t="s">
        <v>594</v>
      </c>
      <c r="D1" t="s">
        <v>635</v>
      </c>
    </row>
    <row r="3" spans="1:16" s="50" customFormat="1" x14ac:dyDescent="0.45">
      <c r="A3" s="50" t="s">
        <v>235</v>
      </c>
      <c r="B3" s="50" t="s">
        <v>235</v>
      </c>
      <c r="C3" s="50" t="s">
        <v>235</v>
      </c>
      <c r="D3" s="50" t="s">
        <v>235</v>
      </c>
      <c r="E3" s="50" t="s">
        <v>235</v>
      </c>
      <c r="F3" s="50" t="s">
        <v>235</v>
      </c>
      <c r="G3" s="50" t="s">
        <v>235</v>
      </c>
      <c r="H3" s="50" t="s">
        <v>235</v>
      </c>
      <c r="I3" s="50" t="s">
        <v>235</v>
      </c>
      <c r="J3" s="50" t="s">
        <v>235</v>
      </c>
      <c r="K3" s="50" t="s">
        <v>235</v>
      </c>
      <c r="L3" s="50" t="s">
        <v>235</v>
      </c>
      <c r="M3" s="50" t="s">
        <v>235</v>
      </c>
      <c r="N3" s="50" t="s">
        <v>235</v>
      </c>
      <c r="O3" s="50" t="s">
        <v>235</v>
      </c>
      <c r="P3" s="50" t="s">
        <v>235</v>
      </c>
    </row>
    <row r="4" spans="1:16" x14ac:dyDescent="0.45">
      <c r="B4" t="s">
        <v>245</v>
      </c>
      <c r="C4" t="s">
        <v>606</v>
      </c>
      <c r="D4" t="s">
        <v>606</v>
      </c>
    </row>
    <row r="5" spans="1:16" x14ac:dyDescent="0.45">
      <c r="B5" t="s">
        <v>246</v>
      </c>
      <c r="C5" t="s">
        <v>634</v>
      </c>
      <c r="D5" t="s">
        <v>638</v>
      </c>
    </row>
    <row r="6" spans="1:16" x14ac:dyDescent="0.45">
      <c r="B6" t="s">
        <v>247</v>
      </c>
      <c r="D6" t="s">
        <v>717</v>
      </c>
    </row>
    <row r="7" spans="1:16" x14ac:dyDescent="0.45">
      <c r="B7" t="s">
        <v>248</v>
      </c>
    </row>
    <row r="8" spans="1:16" x14ac:dyDescent="0.45">
      <c r="B8" t="s">
        <v>249</v>
      </c>
    </row>
    <row r="14" spans="1:16" s="50" customFormat="1" x14ac:dyDescent="0.45">
      <c r="A14" s="50" t="s">
        <v>236</v>
      </c>
      <c r="B14" s="50" t="s">
        <v>236</v>
      </c>
      <c r="C14" s="50" t="s">
        <v>236</v>
      </c>
      <c r="D14" s="50" t="s">
        <v>236</v>
      </c>
      <c r="E14" s="50" t="s">
        <v>236</v>
      </c>
      <c r="F14" s="50" t="s">
        <v>236</v>
      </c>
      <c r="G14" s="50" t="s">
        <v>236</v>
      </c>
      <c r="H14" s="50" t="s">
        <v>236</v>
      </c>
      <c r="I14" s="50" t="s">
        <v>236</v>
      </c>
      <c r="J14" s="50" t="s">
        <v>236</v>
      </c>
      <c r="K14" s="50" t="s">
        <v>236</v>
      </c>
      <c r="L14" s="50" t="s">
        <v>236</v>
      </c>
      <c r="M14" s="50" t="s">
        <v>236</v>
      </c>
      <c r="N14" s="50" t="s">
        <v>236</v>
      </c>
      <c r="O14" s="50" t="s">
        <v>236</v>
      </c>
      <c r="P14" s="50" t="s">
        <v>236</v>
      </c>
    </row>
    <row r="15" spans="1:16" x14ac:dyDescent="0.45">
      <c r="B15" t="s">
        <v>250</v>
      </c>
      <c r="C15" t="s">
        <v>90</v>
      </c>
    </row>
    <row r="16" spans="1:16" s="50" customFormat="1" x14ac:dyDescent="0.45">
      <c r="B16" t="s">
        <v>251</v>
      </c>
      <c r="C16" t="s">
        <v>633</v>
      </c>
    </row>
    <row r="17" spans="1:16" s="50" customFormat="1" x14ac:dyDescent="0.45">
      <c r="B17" t="s">
        <v>252</v>
      </c>
    </row>
    <row r="18" spans="1:16" s="50" customFormat="1" x14ac:dyDescent="0.45">
      <c r="B18" t="s">
        <v>253</v>
      </c>
    </row>
    <row r="19" spans="1:16" s="50" customFormat="1" x14ac:dyDescent="0.45">
      <c r="B19" t="s">
        <v>254</v>
      </c>
    </row>
    <row r="25" spans="1:16" s="50" customFormat="1" x14ac:dyDescent="0.45">
      <c r="A25" s="50" t="s">
        <v>237</v>
      </c>
      <c r="B25" s="50" t="s">
        <v>237</v>
      </c>
      <c r="C25" s="50" t="s">
        <v>237</v>
      </c>
      <c r="D25" s="50" t="s">
        <v>237</v>
      </c>
      <c r="E25" s="50" t="s">
        <v>237</v>
      </c>
      <c r="F25" s="50" t="s">
        <v>237</v>
      </c>
      <c r="G25" s="50" t="s">
        <v>237</v>
      </c>
      <c r="H25" s="50" t="s">
        <v>237</v>
      </c>
      <c r="I25" s="50" t="s">
        <v>237</v>
      </c>
      <c r="J25" s="50" t="s">
        <v>237</v>
      </c>
      <c r="K25" s="50" t="s">
        <v>237</v>
      </c>
      <c r="L25" s="50" t="s">
        <v>237</v>
      </c>
      <c r="M25" s="50" t="s">
        <v>237</v>
      </c>
      <c r="N25" s="50" t="s">
        <v>237</v>
      </c>
      <c r="O25" s="50" t="s">
        <v>237</v>
      </c>
      <c r="P25" s="50" t="s">
        <v>237</v>
      </c>
    </row>
    <row r="26" spans="1:16" x14ac:dyDescent="0.45">
      <c r="B26" t="s">
        <v>255</v>
      </c>
      <c r="C26" t="s">
        <v>608</v>
      </c>
      <c r="D26" t="s">
        <v>608</v>
      </c>
    </row>
    <row r="27" spans="1:16" s="50" customFormat="1" x14ac:dyDescent="0.45">
      <c r="B27" t="s">
        <v>256</v>
      </c>
      <c r="C27" t="s">
        <v>634</v>
      </c>
      <c r="D27" t="s">
        <v>652</v>
      </c>
    </row>
    <row r="28" spans="1:16" s="50" customFormat="1" x14ac:dyDescent="0.45">
      <c r="B28" t="s">
        <v>257</v>
      </c>
      <c r="D28"/>
    </row>
    <row r="29" spans="1:16" s="50" customFormat="1" x14ac:dyDescent="0.45">
      <c r="B29" t="s">
        <v>258</v>
      </c>
      <c r="D29"/>
    </row>
    <row r="30" spans="1:16" s="50" customFormat="1" x14ac:dyDescent="0.45">
      <c r="B30" t="s">
        <v>259</v>
      </c>
    </row>
    <row r="36" spans="1:16" s="50" customFormat="1" x14ac:dyDescent="0.45">
      <c r="A36" s="50" t="s">
        <v>238</v>
      </c>
      <c r="B36" s="50" t="s">
        <v>238</v>
      </c>
      <c r="C36" s="50" t="s">
        <v>238</v>
      </c>
      <c r="D36" s="50" t="s">
        <v>238</v>
      </c>
      <c r="E36" s="50" t="s">
        <v>238</v>
      </c>
      <c r="F36" s="50" t="s">
        <v>238</v>
      </c>
      <c r="G36" s="50" t="s">
        <v>238</v>
      </c>
      <c r="H36" s="50" t="s">
        <v>238</v>
      </c>
      <c r="I36" s="50" t="s">
        <v>238</v>
      </c>
      <c r="J36" s="50" t="s">
        <v>238</v>
      </c>
      <c r="K36" s="50" t="s">
        <v>238</v>
      </c>
      <c r="L36" s="50" t="s">
        <v>238</v>
      </c>
      <c r="M36" s="50" t="s">
        <v>238</v>
      </c>
      <c r="N36" s="50" t="s">
        <v>238</v>
      </c>
      <c r="O36" s="50" t="s">
        <v>238</v>
      </c>
      <c r="P36" s="50" t="s">
        <v>238</v>
      </c>
    </row>
    <row r="37" spans="1:16" x14ac:dyDescent="0.45">
      <c r="B37" t="s">
        <v>260</v>
      </c>
      <c r="C37" t="s">
        <v>90</v>
      </c>
    </row>
    <row r="38" spans="1:16" s="50" customFormat="1" x14ac:dyDescent="0.45">
      <c r="B38" t="s">
        <v>261</v>
      </c>
      <c r="C38" t="s">
        <v>633</v>
      </c>
    </row>
    <row r="39" spans="1:16" s="50" customFormat="1" x14ac:dyDescent="0.45">
      <c r="B39" t="s">
        <v>262</v>
      </c>
    </row>
    <row r="40" spans="1:16" s="50" customFormat="1" x14ac:dyDescent="0.45">
      <c r="B40" t="s">
        <v>263</v>
      </c>
    </row>
    <row r="41" spans="1:16" s="50" customFormat="1" x14ac:dyDescent="0.45">
      <c r="B41" t="s">
        <v>264</v>
      </c>
    </row>
    <row r="47" spans="1:16" s="50" customFormat="1" x14ac:dyDescent="0.45">
      <c r="A47" s="50" t="s">
        <v>239</v>
      </c>
      <c r="B47" s="50" t="s">
        <v>239</v>
      </c>
      <c r="C47" s="50" t="s">
        <v>239</v>
      </c>
      <c r="D47" s="50" t="s">
        <v>239</v>
      </c>
      <c r="E47" s="50" t="s">
        <v>239</v>
      </c>
      <c r="F47" s="50" t="s">
        <v>239</v>
      </c>
      <c r="G47" s="50" t="s">
        <v>239</v>
      </c>
      <c r="H47" s="50" t="s">
        <v>239</v>
      </c>
      <c r="I47" s="50" t="s">
        <v>239</v>
      </c>
      <c r="J47" s="50" t="s">
        <v>239</v>
      </c>
      <c r="K47" s="50" t="s">
        <v>239</v>
      </c>
      <c r="L47" s="50" t="s">
        <v>239</v>
      </c>
      <c r="M47" s="50" t="s">
        <v>239</v>
      </c>
      <c r="N47" s="50" t="s">
        <v>239</v>
      </c>
      <c r="O47" s="50" t="s">
        <v>239</v>
      </c>
      <c r="P47" s="50" t="s">
        <v>239</v>
      </c>
    </row>
    <row r="48" spans="1:16" x14ac:dyDescent="0.45">
      <c r="B48" t="s">
        <v>266</v>
      </c>
      <c r="D48" t="s">
        <v>651</v>
      </c>
    </row>
    <row r="49" spans="1:16" s="50" customFormat="1" x14ac:dyDescent="0.45">
      <c r="B49" t="s">
        <v>265</v>
      </c>
      <c r="D49" t="s">
        <v>716</v>
      </c>
    </row>
    <row r="50" spans="1:16" s="50" customFormat="1" x14ac:dyDescent="0.45">
      <c r="B50" t="s">
        <v>267</v>
      </c>
      <c r="D50" t="s">
        <v>717</v>
      </c>
    </row>
    <row r="51" spans="1:16" s="50" customFormat="1" x14ac:dyDescent="0.45">
      <c r="B51" t="s">
        <v>268</v>
      </c>
      <c r="D51"/>
    </row>
    <row r="52" spans="1:16" s="50" customFormat="1" x14ac:dyDescent="0.45">
      <c r="B52" t="s">
        <v>269</v>
      </c>
      <c r="D52"/>
    </row>
    <row r="58" spans="1:16" s="50" customFormat="1" x14ac:dyDescent="0.45">
      <c r="A58" s="50" t="s">
        <v>240</v>
      </c>
      <c r="B58" s="50" t="s">
        <v>240</v>
      </c>
      <c r="C58" s="50" t="s">
        <v>240</v>
      </c>
      <c r="D58" s="50" t="s">
        <v>240</v>
      </c>
      <c r="E58" s="50" t="s">
        <v>240</v>
      </c>
      <c r="F58" s="50" t="s">
        <v>240</v>
      </c>
      <c r="G58" s="50" t="s">
        <v>240</v>
      </c>
      <c r="H58" s="50" t="s">
        <v>240</v>
      </c>
      <c r="I58" s="50" t="s">
        <v>240</v>
      </c>
      <c r="J58" s="50" t="s">
        <v>240</v>
      </c>
      <c r="K58" s="50" t="s">
        <v>240</v>
      </c>
      <c r="L58" s="50" t="s">
        <v>240</v>
      </c>
      <c r="M58" s="50" t="s">
        <v>240</v>
      </c>
      <c r="N58" s="50" t="s">
        <v>240</v>
      </c>
      <c r="O58" s="50" t="s">
        <v>240</v>
      </c>
      <c r="P58" s="50" t="s">
        <v>240</v>
      </c>
    </row>
    <row r="59" spans="1:16" x14ac:dyDescent="0.45">
      <c r="B59" t="s">
        <v>270</v>
      </c>
    </row>
    <row r="60" spans="1:16" s="50" customFormat="1" x14ac:dyDescent="0.45">
      <c r="B60" t="s">
        <v>271</v>
      </c>
    </row>
    <row r="61" spans="1:16" s="50" customFormat="1" x14ac:dyDescent="0.45">
      <c r="B61" t="s">
        <v>272</v>
      </c>
    </row>
    <row r="62" spans="1:16" s="50" customFormat="1" x14ac:dyDescent="0.45">
      <c r="B62" t="s">
        <v>273</v>
      </c>
    </row>
    <row r="63" spans="1:16" s="50" customFormat="1" x14ac:dyDescent="0.45">
      <c r="B63" t="s">
        <v>274</v>
      </c>
    </row>
    <row r="69" spans="1:16" s="50" customFormat="1" x14ac:dyDescent="0.45">
      <c r="A69" s="50" t="s">
        <v>241</v>
      </c>
      <c r="B69" s="50" t="s">
        <v>241</v>
      </c>
      <c r="C69" s="50" t="s">
        <v>241</v>
      </c>
      <c r="D69" s="50" t="s">
        <v>241</v>
      </c>
      <c r="E69" s="50" t="s">
        <v>241</v>
      </c>
      <c r="F69" s="50" t="s">
        <v>241</v>
      </c>
      <c r="G69" s="50" t="s">
        <v>241</v>
      </c>
      <c r="H69" s="50" t="s">
        <v>241</v>
      </c>
      <c r="I69" s="50" t="s">
        <v>241</v>
      </c>
      <c r="J69" s="50" t="s">
        <v>241</v>
      </c>
      <c r="K69" s="50" t="s">
        <v>241</v>
      </c>
      <c r="L69" s="50" t="s">
        <v>241</v>
      </c>
      <c r="M69" s="50" t="s">
        <v>241</v>
      </c>
      <c r="N69" s="50" t="s">
        <v>241</v>
      </c>
      <c r="O69" s="50" t="s">
        <v>241</v>
      </c>
      <c r="P69" s="50" t="s">
        <v>241</v>
      </c>
    </row>
    <row r="70" spans="1:16" x14ac:dyDescent="0.45">
      <c r="B70" t="s">
        <v>275</v>
      </c>
    </row>
    <row r="71" spans="1:16" s="50" customFormat="1" x14ac:dyDescent="0.45">
      <c r="B71" t="s">
        <v>276</v>
      </c>
      <c r="D71"/>
    </row>
    <row r="72" spans="1:16" s="50" customFormat="1" x14ac:dyDescent="0.45">
      <c r="B72" t="s">
        <v>277</v>
      </c>
      <c r="D72"/>
    </row>
    <row r="73" spans="1:16" s="50" customFormat="1" x14ac:dyDescent="0.45">
      <c r="B73" t="s">
        <v>278</v>
      </c>
      <c r="D73"/>
    </row>
    <row r="74" spans="1:16" s="50" customFormat="1" x14ac:dyDescent="0.45">
      <c r="B74" t="s">
        <v>279</v>
      </c>
    </row>
    <row r="80" spans="1:16" s="50" customFormat="1" x14ac:dyDescent="0.45">
      <c r="A80" s="50" t="s">
        <v>242</v>
      </c>
      <c r="B80" s="50" t="s">
        <v>242</v>
      </c>
      <c r="C80" s="50" t="s">
        <v>242</v>
      </c>
      <c r="D80" s="50" t="s">
        <v>242</v>
      </c>
      <c r="E80" s="50" t="s">
        <v>242</v>
      </c>
      <c r="F80" s="50" t="s">
        <v>242</v>
      </c>
      <c r="G80" s="50" t="s">
        <v>242</v>
      </c>
      <c r="H80" s="50" t="s">
        <v>242</v>
      </c>
      <c r="I80" s="50" t="s">
        <v>242</v>
      </c>
      <c r="J80" s="50" t="s">
        <v>242</v>
      </c>
      <c r="K80" s="50" t="s">
        <v>242</v>
      </c>
      <c r="L80" s="50" t="s">
        <v>242</v>
      </c>
      <c r="M80" s="50" t="s">
        <v>242</v>
      </c>
      <c r="N80" s="50" t="s">
        <v>242</v>
      </c>
      <c r="O80" s="50" t="s">
        <v>242</v>
      </c>
      <c r="P80" s="50" t="s">
        <v>242</v>
      </c>
    </row>
    <row r="81" spans="2:2" x14ac:dyDescent="0.45">
      <c r="B81" t="s">
        <v>280</v>
      </c>
    </row>
    <row r="82" spans="2:2" s="50" customFormat="1" x14ac:dyDescent="0.45">
      <c r="B82" t="s">
        <v>281</v>
      </c>
    </row>
    <row r="83" spans="2:2" s="50" customFormat="1" x14ac:dyDescent="0.45">
      <c r="B83" t="s">
        <v>282</v>
      </c>
    </row>
    <row r="84" spans="2:2" s="50" customFormat="1" x14ac:dyDescent="0.45">
      <c r="B84" t="s">
        <v>283</v>
      </c>
    </row>
    <row r="85" spans="2:2" s="50" customFormat="1" x14ac:dyDescent="0.45">
      <c r="B85" t="s">
        <v>284</v>
      </c>
    </row>
    <row r="92" spans="2:2" s="50" customFormat="1" x14ac:dyDescent="0.45">
      <c r="B92"/>
    </row>
    <row r="93" spans="2:2" s="50" customFormat="1" x14ac:dyDescent="0.45">
      <c r="B93"/>
    </row>
    <row r="94" spans="2:2" s="50" customFormat="1" x14ac:dyDescent="0.45">
      <c r="B94"/>
    </row>
    <row r="95" spans="2:2" s="50" customFormat="1" x14ac:dyDescent="0.45">
      <c r="B95"/>
    </row>
    <row r="102" spans="2:2" s="50" customFormat="1" x14ac:dyDescent="0.45">
      <c r="B102"/>
    </row>
    <row r="103" spans="2:2" s="50" customFormat="1" x14ac:dyDescent="0.45">
      <c r="B103"/>
    </row>
    <row r="104" spans="2:2" s="50" customFormat="1" x14ac:dyDescent="0.45">
      <c r="B104"/>
    </row>
    <row r="105" spans="2:2" s="50" customFormat="1" x14ac:dyDescent="0.45">
      <c r="B105"/>
    </row>
    <row r="112" spans="2:2" s="50" customFormat="1" x14ac:dyDescent="0.45">
      <c r="B112"/>
    </row>
    <row r="113" spans="2:2" s="50" customFormat="1" x14ac:dyDescent="0.45">
      <c r="B113"/>
    </row>
    <row r="114" spans="2:2" s="50" customFormat="1" x14ac:dyDescent="0.45">
      <c r="B114"/>
    </row>
    <row r="115" spans="2:2" s="50" customFormat="1" x14ac:dyDescent="0.45">
      <c r="B115"/>
    </row>
    <row r="122" spans="2:2" s="50" customFormat="1" x14ac:dyDescent="0.45">
      <c r="B122"/>
    </row>
    <row r="123" spans="2:2" s="50" customFormat="1" x14ac:dyDescent="0.45">
      <c r="B123"/>
    </row>
    <row r="124" spans="2:2" s="50" customFormat="1" x14ac:dyDescent="0.45">
      <c r="B124"/>
    </row>
    <row r="125" spans="2:2" s="50" customFormat="1" x14ac:dyDescent="0.45">
      <c r="B125"/>
    </row>
    <row r="132" spans="2:2" s="50" customFormat="1" x14ac:dyDescent="0.45">
      <c r="B132"/>
    </row>
    <row r="133" spans="2:2" s="50" customFormat="1" x14ac:dyDescent="0.45">
      <c r="B133"/>
    </row>
    <row r="134" spans="2:2" s="50" customFormat="1" x14ac:dyDescent="0.45">
      <c r="B134"/>
    </row>
    <row r="135" spans="2:2" s="50" customFormat="1" x14ac:dyDescent="0.45">
      <c r="B135"/>
    </row>
    <row r="142" spans="2:2" s="50" customFormat="1" x14ac:dyDescent="0.45">
      <c r="B142"/>
    </row>
    <row r="143" spans="2:2" s="50" customFormat="1" x14ac:dyDescent="0.45">
      <c r="B143"/>
    </row>
    <row r="144" spans="2:2" s="50" customFormat="1" x14ac:dyDescent="0.45">
      <c r="B144"/>
    </row>
    <row r="145" spans="2:2" s="50" customFormat="1" x14ac:dyDescent="0.45">
      <c r="B145"/>
    </row>
    <row r="152" spans="2:2" s="50" customFormat="1" x14ac:dyDescent="0.45">
      <c r="B152"/>
    </row>
    <row r="153" spans="2:2" s="50" customFormat="1" x14ac:dyDescent="0.45">
      <c r="B153"/>
    </row>
    <row r="154" spans="2:2" s="50" customFormat="1" x14ac:dyDescent="0.45">
      <c r="B154"/>
    </row>
    <row r="155" spans="2:2" s="50" customFormat="1" x14ac:dyDescent="0.45">
      <c r="B155"/>
    </row>
    <row r="162" spans="2:2" s="50" customFormat="1" x14ac:dyDescent="0.45">
      <c r="B162"/>
    </row>
    <row r="163" spans="2:2" s="50" customFormat="1" x14ac:dyDescent="0.45">
      <c r="B163"/>
    </row>
    <row r="164" spans="2:2" s="50" customFormat="1" x14ac:dyDescent="0.45">
      <c r="B164"/>
    </row>
    <row r="165" spans="2:2" s="50" customFormat="1" x14ac:dyDescent="0.45">
      <c r="B165"/>
    </row>
    <row r="172" spans="2:2" s="50" customFormat="1" x14ac:dyDescent="0.45">
      <c r="B172"/>
    </row>
    <row r="173" spans="2:2" s="50" customFormat="1" x14ac:dyDescent="0.45">
      <c r="B173"/>
    </row>
    <row r="174" spans="2:2" s="50" customFormat="1" x14ac:dyDescent="0.45">
      <c r="B174"/>
    </row>
    <row r="175" spans="2:2" s="50" customFormat="1" x14ac:dyDescent="0.45">
      <c r="B175"/>
    </row>
  </sheetData>
  <phoneticPr fontId="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2:A98"/>
  <sheetViews>
    <sheetView zoomScale="71" zoomScaleNormal="71" workbookViewId="0">
      <selection sqref="A1:A98"/>
    </sheetView>
  </sheetViews>
  <sheetFormatPr defaultRowHeight="14.25" x14ac:dyDescent="0.45"/>
  <sheetData>
    <row r="2" spans="1:1" x14ac:dyDescent="0.45">
      <c r="A2" t="s">
        <v>435</v>
      </c>
    </row>
    <row r="3" spans="1:1" x14ac:dyDescent="0.45">
      <c r="A3" t="s">
        <v>436</v>
      </c>
    </row>
    <row r="4" spans="1:1" x14ac:dyDescent="0.45">
      <c r="A4" t="s">
        <v>437</v>
      </c>
    </row>
    <row r="5" spans="1:1" x14ac:dyDescent="0.45">
      <c r="A5" t="s">
        <v>438</v>
      </c>
    </row>
    <row r="6" spans="1:1" x14ac:dyDescent="0.45">
      <c r="A6" t="s">
        <v>439</v>
      </c>
    </row>
    <row r="7" spans="1:1" x14ac:dyDescent="0.45">
      <c r="A7" t="s">
        <v>440</v>
      </c>
    </row>
    <row r="8" spans="1:1" x14ac:dyDescent="0.45">
      <c r="A8" t="s">
        <v>441</v>
      </c>
    </row>
    <row r="9" spans="1:1" x14ac:dyDescent="0.45">
      <c r="A9" t="s">
        <v>460</v>
      </c>
    </row>
    <row r="10" spans="1:1" x14ac:dyDescent="0.45">
      <c r="A10" t="s">
        <v>461</v>
      </c>
    </row>
    <row r="11" spans="1:1" x14ac:dyDescent="0.45">
      <c r="A11" t="s">
        <v>462</v>
      </c>
    </row>
    <row r="12" spans="1:1" x14ac:dyDescent="0.45">
      <c r="A12" t="s">
        <v>502</v>
      </c>
    </row>
    <row r="15" spans="1:1" x14ac:dyDescent="0.45">
      <c r="A15" t="s">
        <v>712</v>
      </c>
    </row>
    <row r="16" spans="1:1" x14ac:dyDescent="0.45">
      <c r="A16" t="s">
        <v>445</v>
      </c>
    </row>
    <row r="17" spans="1:1" x14ac:dyDescent="0.45">
      <c r="A17" t="s">
        <v>713</v>
      </c>
    </row>
    <row r="18" spans="1:1" x14ac:dyDescent="0.45">
      <c r="A18" t="s">
        <v>721</v>
      </c>
    </row>
    <row r="19" spans="1:1" x14ac:dyDescent="0.45">
      <c r="A19" t="s">
        <v>445</v>
      </c>
    </row>
    <row r="20" spans="1:1" x14ac:dyDescent="0.45">
      <c r="A20" t="s">
        <v>722</v>
      </c>
    </row>
    <row r="21" spans="1:1" x14ac:dyDescent="0.45">
      <c r="A21" t="s">
        <v>107</v>
      </c>
    </row>
    <row r="23" spans="1:1" x14ac:dyDescent="0.45">
      <c r="A23" t="s">
        <v>452</v>
      </c>
    </row>
    <row r="24" spans="1:1" x14ac:dyDescent="0.45">
      <c r="A24" t="s">
        <v>152</v>
      </c>
    </row>
    <row r="27" spans="1:1" x14ac:dyDescent="0.45">
      <c r="A27" t="s">
        <v>446</v>
      </c>
    </row>
    <row r="28" spans="1:1" x14ac:dyDescent="0.45">
      <c r="A28" t="s">
        <v>447</v>
      </c>
    </row>
    <row r="29" spans="1:1" x14ac:dyDescent="0.45">
      <c r="A29" t="s">
        <v>448</v>
      </c>
    </row>
    <row r="30" spans="1:1" x14ac:dyDescent="0.45">
      <c r="A30" t="s">
        <v>449</v>
      </c>
    </row>
    <row r="31" spans="1:1" x14ac:dyDescent="0.45">
      <c r="A31" t="s">
        <v>450</v>
      </c>
    </row>
    <row r="32" spans="1:1" x14ac:dyDescent="0.45">
      <c r="A32" t="s">
        <v>451</v>
      </c>
    </row>
    <row r="35" spans="1:1" x14ac:dyDescent="0.45">
      <c r="A35" t="s">
        <v>463</v>
      </c>
    </row>
    <row r="36" spans="1:1" x14ac:dyDescent="0.45">
      <c r="A36" t="s">
        <v>464</v>
      </c>
    </row>
    <row r="37" spans="1:1" x14ac:dyDescent="0.45">
      <c r="A37" t="s">
        <v>465</v>
      </c>
    </row>
    <row r="38" spans="1:1" x14ac:dyDescent="0.45">
      <c r="A38" t="s">
        <v>466</v>
      </c>
    </row>
    <row r="39" spans="1:1" x14ac:dyDescent="0.45">
      <c r="A39" t="s">
        <v>467</v>
      </c>
    </row>
    <row r="40" spans="1:1" x14ac:dyDescent="0.45">
      <c r="A40" t="s">
        <v>468</v>
      </c>
    </row>
    <row r="41" spans="1:1" x14ac:dyDescent="0.45">
      <c r="A41" t="s">
        <v>463</v>
      </c>
    </row>
    <row r="42" spans="1:1" x14ac:dyDescent="0.45">
      <c r="A42" t="s">
        <v>469</v>
      </c>
    </row>
    <row r="43" spans="1:1" x14ac:dyDescent="0.45">
      <c r="A43" t="s">
        <v>90</v>
      </c>
    </row>
    <row r="45" spans="1:1" x14ac:dyDescent="0.45">
      <c r="A45" t="s">
        <v>927</v>
      </c>
    </row>
    <row r="47" spans="1:1" x14ac:dyDescent="0.45">
      <c r="A47" t="s">
        <v>133</v>
      </c>
    </row>
    <row r="48" spans="1:1" x14ac:dyDescent="0.45">
      <c r="A48" t="s">
        <v>458</v>
      </c>
    </row>
    <row r="50" spans="1:1" x14ac:dyDescent="0.45">
      <c r="A50" t="s">
        <v>159</v>
      </c>
    </row>
    <row r="61" spans="1:1" x14ac:dyDescent="0.45">
      <c r="A61" t="s">
        <v>134</v>
      </c>
    </row>
    <row r="62" spans="1:1" x14ac:dyDescent="0.45">
      <c r="A62" t="s">
        <v>958</v>
      </c>
    </row>
    <row r="63" spans="1:1" x14ac:dyDescent="0.45">
      <c r="A63" t="s">
        <v>959</v>
      </c>
    </row>
    <row r="64" spans="1:1" x14ac:dyDescent="0.45">
      <c r="A64" t="s">
        <v>960</v>
      </c>
    </row>
    <row r="65" spans="1:1" x14ac:dyDescent="0.45">
      <c r="A65" t="s">
        <v>961</v>
      </c>
    </row>
    <row r="66" spans="1:1" x14ac:dyDescent="0.45">
      <c r="A66" t="s">
        <v>962</v>
      </c>
    </row>
    <row r="68" spans="1:1" x14ac:dyDescent="0.45">
      <c r="A68" t="s">
        <v>146</v>
      </c>
    </row>
    <row r="71" spans="1:1" x14ac:dyDescent="0.45">
      <c r="A71" t="s">
        <v>470</v>
      </c>
    </row>
    <row r="72" spans="1:1" x14ac:dyDescent="0.45">
      <c r="A72" t="s">
        <v>471</v>
      </c>
    </row>
    <row r="73" spans="1:1" x14ac:dyDescent="0.45">
      <c r="A73" t="s">
        <v>92</v>
      </c>
    </row>
    <row r="74" spans="1:1" x14ac:dyDescent="0.45">
      <c r="A74" t="s">
        <v>472</v>
      </c>
    </row>
    <row r="75" spans="1:1" x14ac:dyDescent="0.45">
      <c r="A75" t="s">
        <v>473</v>
      </c>
    </row>
    <row r="76" spans="1:1" x14ac:dyDescent="0.45">
      <c r="A76" t="s">
        <v>474</v>
      </c>
    </row>
    <row r="77" spans="1:1" x14ac:dyDescent="0.45">
      <c r="A77" t="s">
        <v>475</v>
      </c>
    </row>
    <row r="78" spans="1:1" x14ac:dyDescent="0.45">
      <c r="A78" t="s">
        <v>476</v>
      </c>
    </row>
    <row r="79" spans="1:1" x14ac:dyDescent="0.45">
      <c r="A79" t="s">
        <v>477</v>
      </c>
    </row>
    <row r="81" spans="1:1" x14ac:dyDescent="0.45">
      <c r="A81" t="s">
        <v>492</v>
      </c>
    </row>
    <row r="82" spans="1:1" x14ac:dyDescent="0.45">
      <c r="A82" t="s">
        <v>479</v>
      </c>
    </row>
    <row r="83" spans="1:1" x14ac:dyDescent="0.45">
      <c r="A83" t="s">
        <v>480</v>
      </c>
    </row>
    <row r="84" spans="1:1" x14ac:dyDescent="0.45">
      <c r="A84" t="s">
        <v>481</v>
      </c>
    </row>
    <row r="86" spans="1:1" x14ac:dyDescent="0.45">
      <c r="A86" t="s">
        <v>482</v>
      </c>
    </row>
    <row r="88" spans="1:1" x14ac:dyDescent="0.45">
      <c r="A88" t="s">
        <v>107</v>
      </c>
    </row>
    <row r="89" spans="1:1" x14ac:dyDescent="0.45">
      <c r="A89" t="s">
        <v>483</v>
      </c>
    </row>
    <row r="90" spans="1:1" x14ac:dyDescent="0.45">
      <c r="A90" t="s">
        <v>108</v>
      </c>
    </row>
    <row r="91" spans="1:1" x14ac:dyDescent="0.45">
      <c r="A91" t="s">
        <v>493</v>
      </c>
    </row>
    <row r="92" spans="1:1" x14ac:dyDescent="0.45">
      <c r="A92" t="s">
        <v>494</v>
      </c>
    </row>
    <row r="93" spans="1:1" x14ac:dyDescent="0.45">
      <c r="A93" t="s">
        <v>495</v>
      </c>
    </row>
    <row r="94" spans="1:1" x14ac:dyDescent="0.45">
      <c r="A94" t="s">
        <v>496</v>
      </c>
    </row>
    <row r="95" spans="1:1" x14ac:dyDescent="0.45">
      <c r="A95" t="s">
        <v>497</v>
      </c>
    </row>
    <row r="96" spans="1:1" x14ac:dyDescent="0.45">
      <c r="A96" t="s">
        <v>498</v>
      </c>
    </row>
    <row r="97" spans="1:1" x14ac:dyDescent="0.45">
      <c r="A97" t="s">
        <v>499</v>
      </c>
    </row>
    <row r="98" spans="1:1" x14ac:dyDescent="0.45">
      <c r="A98" t="s">
        <v>500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33"/>
  <sheetViews>
    <sheetView workbookViewId="0">
      <selection activeCell="B7" sqref="B7"/>
    </sheetView>
  </sheetViews>
  <sheetFormatPr defaultRowHeight="14.25" x14ac:dyDescent="0.45"/>
  <sheetData>
    <row r="1" spans="1:1" x14ac:dyDescent="0.45">
      <c r="A1" t="s">
        <v>872</v>
      </c>
    </row>
    <row r="2" spans="1:1" x14ac:dyDescent="0.45">
      <c r="A2" s="70" t="s">
        <v>871</v>
      </c>
    </row>
    <row r="6" spans="1:1" x14ac:dyDescent="0.45">
      <c r="A6" t="s">
        <v>980</v>
      </c>
    </row>
    <row r="7" spans="1:1" x14ac:dyDescent="0.45">
      <c r="A7" t="s">
        <v>981</v>
      </c>
    </row>
    <row r="8" spans="1:1" x14ac:dyDescent="0.45">
      <c r="A8" t="s">
        <v>982</v>
      </c>
    </row>
    <row r="9" spans="1:1" x14ac:dyDescent="0.45">
      <c r="A9" t="s">
        <v>983</v>
      </c>
    </row>
    <row r="11" spans="1:1" x14ac:dyDescent="0.45">
      <c r="A11" t="s">
        <v>984</v>
      </c>
    </row>
    <row r="15" spans="1:1" x14ac:dyDescent="0.45">
      <c r="A15" t="s">
        <v>863</v>
      </c>
    </row>
    <row r="16" spans="1:1" x14ac:dyDescent="0.45">
      <c r="A16" t="s">
        <v>870</v>
      </c>
    </row>
    <row r="17" spans="1:1" x14ac:dyDescent="0.45">
      <c r="A17" t="s">
        <v>725</v>
      </c>
    </row>
    <row r="18" spans="1:1" x14ac:dyDescent="0.45">
      <c r="A18" t="s">
        <v>869</v>
      </c>
    </row>
    <row r="19" spans="1:1" x14ac:dyDescent="0.45">
      <c r="A19" t="s">
        <v>868</v>
      </c>
    </row>
    <row r="21" spans="1:1" x14ac:dyDescent="0.45">
      <c r="A21" t="s">
        <v>984</v>
      </c>
    </row>
    <row r="25" spans="1:1" x14ac:dyDescent="0.45">
      <c r="A25" t="s">
        <v>864</v>
      </c>
    </row>
    <row r="26" spans="1:1" x14ac:dyDescent="0.45">
      <c r="A26" t="s">
        <v>865</v>
      </c>
    </row>
    <row r="28" spans="1:1" x14ac:dyDescent="0.45">
      <c r="A28" t="s">
        <v>984</v>
      </c>
    </row>
    <row r="32" spans="1:1" x14ac:dyDescent="0.45">
      <c r="A32" t="s">
        <v>866</v>
      </c>
    </row>
    <row r="33" spans="1:1" x14ac:dyDescent="0.45">
      <c r="A33" t="s">
        <v>867</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19</vt:i4>
      </vt:variant>
    </vt:vector>
  </HeadingPairs>
  <TitlesOfParts>
    <vt:vector size="34" baseType="lpstr">
      <vt:lpstr>Main Sheet</vt:lpstr>
      <vt:lpstr>ParametricRipples</vt:lpstr>
      <vt:lpstr>ParametricVases</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Bulge</vt:lpstr>
      <vt:lpstr>DesignID</vt:lpstr>
      <vt:lpstr>FanSpeed</vt:lpstr>
      <vt:lpstr>FW</vt:lpstr>
      <vt:lpstr>Height</vt:lpstr>
      <vt:lpstr>IndentDepth</vt:lpstr>
      <vt:lpstr>LH</vt:lpstr>
      <vt:lpstr>NozzleFeedratePrinting</vt:lpstr>
      <vt:lpstr>NozzleFeedrateTravelling</vt:lpstr>
      <vt:lpstr>NozzleTemp</vt:lpstr>
      <vt:lpstr>Nxy</vt:lpstr>
      <vt:lpstr>Nz</vt:lpstr>
      <vt:lpstr>pi_2</vt:lpstr>
      <vt:lpstr>PreviewFactor</vt:lpstr>
      <vt:lpstr>Radius</vt:lpstr>
      <vt:lpstr>Segments</vt:lpstr>
      <vt:lpstr>Skew</vt:lpstr>
      <vt:lpstr>TotalSegs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2021-04-22T15:01:03Z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