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Demonstrators/Sine vases/LampShade/Shared version/"/>
    </mc:Choice>
  </mc:AlternateContent>
  <xr:revisionPtr revIDLastSave="683" documentId="13_ncr:1_{29672FFA-4A3C-467C-B739-3A312803C0BA}" xr6:coauthVersionLast="47" xr6:coauthVersionMax="47" xr10:uidLastSave="{649A7E3D-F7E4-4354-A6AE-10B748FDA9F5}"/>
  <bookViews>
    <workbookView xWindow="-98" yWindow="-98" windowWidth="20715" windowHeight="13276" xr2:uid="{8C30A96A-85E0-4C72-B123-4A0D915360FC}"/>
  </bookViews>
  <sheets>
    <sheet name="Main Sheet" sheetId="1" r:id="rId1"/>
    <sheet name="Lampshade"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Amp_1">'Main Sheet'!$T$51</definedName>
    <definedName name="BedTemp">'Main Sheet'!$T$15</definedName>
    <definedName name="Bulge1">'Main Sheet'!$T$53</definedName>
    <definedName name="Bulge2">'Main Sheet'!$T$54</definedName>
    <definedName name="FanSpeed">'Main Sheet'!$T$26</definedName>
    <definedName name="FirstLayerEFactor">'Main Sheet'!$T$46</definedName>
    <definedName name="FrameLineSpacingRatio">'Main Sheet'!$T$55</definedName>
    <definedName name="FrameWidthFactor">'Main Sheet'!$T$50</definedName>
    <definedName name="FW">'Main Sheet'!$T$38</definedName>
    <definedName name="Height">'Main Sheet'!$T$41</definedName>
    <definedName name="InnerFrameLayers">'Main Sheet'!$T$52</definedName>
    <definedName name="Layers">'Main Sheet'!$T$47</definedName>
    <definedName name="LH">'Main Sheet'!$T$37</definedName>
    <definedName name="NozzleFeedratePrinting">'Main Sheet'!$T$16</definedName>
    <definedName name="NozzleFeedrateTravelling">'Main Sheet'!$T$17</definedName>
    <definedName name="NozzleTemp">'Main Sheet'!$T$18</definedName>
    <definedName name="nTip">'Main Sheet'!$T$57</definedName>
    <definedName name="pi_2">'Main Sheet'!$T$42</definedName>
    <definedName name="R_0">'Main Sheet'!$T$56</definedName>
    <definedName name="RadInner">'Main Sheet'!$T$48</definedName>
    <definedName name="RadOuter">'Main Sheet'!$T$49</definedName>
    <definedName name="RipD">'Main Sheet'!$T$61</definedName>
    <definedName name="RipFreq">'Main Sheet'!$T$62</definedName>
    <definedName name="Segs1">'Main Sheet'!$T$39</definedName>
    <definedName name="Segs2">'Main Sheet'!$T$40</definedName>
    <definedName name="Swerve">'Main Sheet'!$T$63</definedName>
    <definedName name="TipLen">'Main Sheet'!$T$58</definedName>
    <definedName name="TotalSegs">'Main Sheet'!$T$45</definedName>
    <definedName name="X_1">'Main Sheet'!$T$43</definedName>
    <definedName name="X_2">'Main Sheet'!$T$44</definedName>
    <definedName name="ZagMax">'Main Sheet'!$T$60</definedName>
    <definedName name="ZagMin">'Main Sheet'!$T$59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51" i="64" l="1"/>
  <c r="T149" i="64"/>
  <c r="H124" i="64" a="1"/>
  <c r="H124" i="64" s="1"/>
  <c r="L123" i="64"/>
  <c r="I123" i="64"/>
  <c r="J123" i="64" s="1" a="1"/>
  <c r="J123" i="64" s="1"/>
  <c r="H123" i="64"/>
  <c r="G123" i="64"/>
  <c r="G123" i="64" a="1"/>
  <c r="F123" i="64"/>
  <c r="F123" i="64" a="1"/>
  <c r="E123" i="64" a="1"/>
  <c r="E123" i="64" s="1"/>
  <c r="G122" i="64"/>
  <c r="D122" i="64"/>
  <c r="H121" i="64" a="1"/>
  <c r="H121" i="64" s="1"/>
  <c r="H120" i="64"/>
  <c r="H120" i="64" a="1"/>
  <c r="H119" i="64"/>
  <c r="F119" i="64"/>
  <c r="G118" i="64"/>
  <c r="M117" i="64"/>
  <c r="L117" i="64"/>
  <c r="K117" i="64"/>
  <c r="J117" i="64"/>
  <c r="H117" i="64"/>
  <c r="F117" i="64" a="1"/>
  <c r="F117" i="64" s="1"/>
  <c r="L116" i="64"/>
  <c r="J116" i="64"/>
  <c r="I116" i="64"/>
  <c r="H116" i="64"/>
  <c r="D116" i="64" a="1"/>
  <c r="D116" i="64" s="1"/>
  <c r="C116" i="64" a="1"/>
  <c r="C116" i="64" s="1"/>
  <c r="L115" i="64"/>
  <c r="K115" i="64"/>
  <c r="K115" i="64" a="1"/>
  <c r="J115" i="64" a="1"/>
  <c r="J115" i="64" s="1"/>
  <c r="G115" i="64"/>
  <c r="G115" i="64" a="1"/>
  <c r="F115" i="64" a="1"/>
  <c r="F115" i="64" s="1"/>
  <c r="E115" i="64" a="1"/>
  <c r="E115" i="64" s="1"/>
  <c r="L114" i="64"/>
  <c r="K114" i="64"/>
  <c r="T113" i="64"/>
  <c r="L113" i="64"/>
  <c r="K113" i="64"/>
  <c r="L112" i="64"/>
  <c r="K112" i="64"/>
  <c r="T45" i="1"/>
  <c r="K11" i="1" a="1"/>
  <c r="K11" i="1" s="1"/>
  <c r="T47" i="1"/>
  <c r="K13" i="1"/>
  <c r="H13" i="1"/>
  <c r="J13" i="1" s="1"/>
  <c r="F15" i="1"/>
  <c r="G14" i="1"/>
  <c r="E11" i="1" a="1"/>
  <c r="E11" i="1" s="1"/>
  <c r="F11" i="1" a="1"/>
  <c r="F11" i="1" s="1"/>
  <c r="G19" i="1" a="1"/>
  <c r="G19" i="1" s="1"/>
  <c r="E19" i="1" a="1"/>
  <c r="E19" i="1" s="1"/>
  <c r="H20" i="1" a="1"/>
  <c r="H20" i="1" s="1"/>
  <c r="H16" i="1" a="1"/>
  <c r="H16" i="1" s="1"/>
  <c r="H17" i="1" a="1"/>
  <c r="H17" i="1" s="1"/>
  <c r="H15" i="1"/>
  <c r="T100" i="64"/>
  <c r="T93" i="64"/>
  <c r="H71" i="64" a="1"/>
  <c r="H71" i="64" s="1"/>
  <c r="L70" i="64"/>
  <c r="I70" i="64"/>
  <c r="H70" i="64"/>
  <c r="G70" i="64" a="1"/>
  <c r="G70" i="64" s="1"/>
  <c r="F70" i="64" a="1"/>
  <c r="F70" i="64" s="1"/>
  <c r="E70" i="64" a="1"/>
  <c r="E70" i="64" s="1"/>
  <c r="G69" i="64"/>
  <c r="D69" i="64"/>
  <c r="H68" i="64" a="1"/>
  <c r="H68" i="64" s="1"/>
  <c r="H67" i="64" a="1"/>
  <c r="H67" i="64" s="1"/>
  <c r="M64" i="64"/>
  <c r="L64" i="64"/>
  <c r="K64" i="64"/>
  <c r="F64" i="64" a="1"/>
  <c r="F64" i="64" s="1"/>
  <c r="L63" i="64"/>
  <c r="J63" i="64"/>
  <c r="I63" i="64"/>
  <c r="H63" i="64"/>
  <c r="D63" i="64" a="1"/>
  <c r="D63" i="64" s="1"/>
  <c r="C63" i="64" a="1"/>
  <c r="C63" i="64" s="1"/>
  <c r="L62" i="64"/>
  <c r="G62" i="64" a="1"/>
  <c r="G62" i="64" s="1"/>
  <c r="E62" i="64" a="1"/>
  <c r="E62" i="64" s="1"/>
  <c r="L61" i="64"/>
  <c r="K61" i="64"/>
  <c r="T60" i="64"/>
  <c r="L60" i="64"/>
  <c r="K60" i="64"/>
  <c r="L59" i="64"/>
  <c r="K59" i="64"/>
  <c r="F62" i="64" l="1" a="1"/>
  <c r="F62" i="64" s="1"/>
  <c r="F19" i="1" a="1"/>
  <c r="F19" i="1" s="1"/>
  <c r="J62" i="64" a="1"/>
  <c r="J62" i="64" s="1"/>
  <c r="T97" i="64" a="1"/>
  <c r="T97" i="64" s="1"/>
  <c r="J70" i="64" a="1"/>
  <c r="J70" i="64" s="1"/>
  <c r="H12" i="1"/>
  <c r="J11" i="1" a="1"/>
  <c r="J11" i="1" s="1"/>
  <c r="M13" i="1"/>
  <c r="L12" i="1"/>
  <c r="D18" i="1"/>
  <c r="L55" i="64"/>
  <c r="K55" i="64" a="1"/>
  <c r="K55" i="64" s="1"/>
  <c r="E55" i="64" a="1"/>
  <c r="E55" i="64" s="1"/>
  <c r="O54" i="64"/>
  <c r="L54" i="64"/>
  <c r="K54" i="64" a="1"/>
  <c r="K54" i="64" s="1"/>
  <c r="E54" i="64" a="1"/>
  <c r="E54" i="64" s="1"/>
  <c r="O53" i="64"/>
  <c r="L53" i="64"/>
  <c r="K53" i="64" a="1"/>
  <c r="K53" i="64" s="1"/>
  <c r="E53" i="64" a="1"/>
  <c r="E53" i="64" s="1"/>
  <c r="O51" i="64"/>
  <c r="L51" i="64"/>
  <c r="K51" i="64" a="1"/>
  <c r="K51" i="64" s="1"/>
  <c r="O50" i="64"/>
  <c r="L50" i="64"/>
  <c r="K50" i="64" a="1"/>
  <c r="K50" i="64" s="1"/>
  <c r="T46" i="64"/>
  <c r="W44" i="64"/>
  <c r="T44" i="64"/>
  <c r="W39" i="64"/>
  <c r="T39" i="64"/>
  <c r="W38" i="64"/>
  <c r="T38" i="64"/>
  <c r="W37" i="64"/>
  <c r="T37" i="64"/>
  <c r="W36" i="64"/>
  <c r="T36" i="64"/>
  <c r="L36" i="64"/>
  <c r="L32" i="64"/>
  <c r="E26" i="64" a="1"/>
  <c r="E26" i="64" s="1"/>
  <c r="L17" i="64"/>
  <c r="H17" i="64"/>
  <c r="G17" i="64" a="1"/>
  <c r="G17" i="64" s="1"/>
  <c r="G16" i="64"/>
  <c r="D16" i="64"/>
  <c r="H15" i="64" a="1"/>
  <c r="H15" i="64" s="1"/>
  <c r="M11" i="64"/>
  <c r="L11" i="64"/>
  <c r="K11" i="64"/>
  <c r="F11" i="64" a="1"/>
  <c r="F11" i="64" s="1"/>
  <c r="L10" i="64"/>
  <c r="J10" i="64"/>
  <c r="I10" i="64"/>
  <c r="C10" i="64" a="1"/>
  <c r="C10" i="64" s="1"/>
  <c r="L9" i="64"/>
  <c r="G9" i="64" a="1"/>
  <c r="G9" i="64" s="1"/>
  <c r="L8" i="64"/>
  <c r="K8" i="64"/>
  <c r="L7" i="64"/>
  <c r="K7" i="64"/>
  <c r="T6" i="64"/>
  <c r="L6" i="64"/>
  <c r="K6" i="64"/>
  <c r="L5" i="64"/>
  <c r="K5" i="64"/>
  <c r="G55" i="64" a="1"/>
  <c r="G55" i="64" s="1"/>
  <c r="L19" i="1"/>
  <c r="H19" i="1"/>
  <c r="G18" i="1"/>
  <c r="L13" i="1"/>
  <c r="F13" i="1" a="1"/>
  <c r="F13" i="1" s="1"/>
  <c r="J12" i="1"/>
  <c r="I12" i="1"/>
  <c r="C12" i="1" a="1"/>
  <c r="C12" i="1" s="1"/>
  <c r="L11" i="1"/>
  <c r="G11" i="1" a="1"/>
  <c r="G11" i="1" s="1"/>
  <c r="L10" i="1"/>
  <c r="K10" i="1"/>
  <c r="T9" i="1"/>
  <c r="L9" i="1"/>
  <c r="K9" i="1"/>
  <c r="L8" i="1"/>
  <c r="K8" i="1"/>
  <c r="D10" i="64" l="1" a="1"/>
  <c r="D10" i="64" s="1"/>
  <c r="D12" i="1" a="1"/>
  <c r="D12" i="1" s="1"/>
  <c r="G27" i="64" a="1"/>
  <c r="G27" i="64" s="1"/>
  <c r="I19" i="1"/>
  <c r="J19" i="1" s="1" a="1"/>
  <c r="J19" i="1" s="1"/>
  <c r="J9" i="64"/>
  <c r="I50" i="64"/>
  <c r="E51" i="64" a="1"/>
  <c r="E51" i="64" s="1"/>
  <c r="I17" i="64"/>
  <c r="J17" i="64" s="1"/>
  <c r="G29" i="64" a="1"/>
  <c r="G29" i="64" s="1"/>
  <c r="T43" i="64"/>
  <c r="F54" i="64" a="1"/>
  <c r="F54" i="64" s="1"/>
  <c r="G36" i="64" a="1"/>
  <c r="G36" i="64" s="1"/>
  <c r="F53" i="64" a="1"/>
  <c r="F53" i="64" s="1"/>
  <c r="G54" i="64" a="1"/>
  <c r="G54" i="64" s="1"/>
  <c r="I51" i="64"/>
  <c r="H14" i="64" a="1"/>
  <c r="H14" i="64" s="1"/>
  <c r="E17" i="64" a="1"/>
  <c r="E17" i="64" s="1"/>
  <c r="I32" i="64"/>
  <c r="W43" i="64"/>
  <c r="T49" i="64"/>
  <c r="I55" i="64"/>
  <c r="F26" i="64" a="1"/>
  <c r="F26" i="64" s="1"/>
  <c r="F17" i="64" a="1"/>
  <c r="F17" i="64" s="1"/>
  <c r="E28" i="64" a="1"/>
  <c r="E28" i="64" s="1"/>
  <c r="E32" i="64" a="1"/>
  <c r="E32" i="64" s="1"/>
  <c r="I36" i="64"/>
  <c r="E50" i="64" a="1"/>
  <c r="E50" i="64" s="1"/>
  <c r="F51" i="64" a="1"/>
  <c r="F51" i="64" s="1"/>
  <c r="G53" i="64" a="1"/>
  <c r="G53" i="64" s="1"/>
  <c r="I54" i="64"/>
  <c r="E9" i="64" a="1"/>
  <c r="E9" i="64" s="1"/>
  <c r="H18" i="64" a="1"/>
  <c r="H18" i="64" s="1"/>
  <c r="E27" i="64" a="1"/>
  <c r="E27" i="64" s="1"/>
  <c r="F28" i="64" a="1"/>
  <c r="F28" i="64" s="1"/>
  <c r="F32" i="64" a="1"/>
  <c r="F32" i="64" s="1"/>
  <c r="E36" i="64" a="1"/>
  <c r="E36" i="64" s="1"/>
  <c r="F50" i="64" a="1"/>
  <c r="F50" i="64" s="1"/>
  <c r="G51" i="64" a="1"/>
  <c r="G51" i="64" s="1"/>
  <c r="I53" i="64"/>
  <c r="F55" i="64" a="1"/>
  <c r="F55" i="64" s="1"/>
  <c r="J51" i="64"/>
  <c r="F9" i="64" a="1"/>
  <c r="F9" i="64" s="1"/>
  <c r="F25" i="64" a="1"/>
  <c r="F25" i="64" s="1"/>
  <c r="F27" i="64" a="1"/>
  <c r="F27" i="64" s="1"/>
  <c r="G28" i="64" a="1"/>
  <c r="G28" i="64" s="1"/>
  <c r="G32" i="64" a="1"/>
  <c r="G32" i="64" s="1"/>
  <c r="F36" i="64" a="1"/>
  <c r="F36" i="64" s="1"/>
  <c r="G50" i="64" a="1"/>
  <c r="G50" i="64" s="1"/>
  <c r="J36" i="64"/>
  <c r="J53" i="64" l="1"/>
  <c r="J32" i="64"/>
  <c r="J55" i="64"/>
  <c r="J54" i="64"/>
  <c r="J50" i="64"/>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B20A6061-5E06-411A-8FBB-1E2CA61D5AB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A7B112A1-1C6E-46DF-B910-1D1C3A0E0E4D}">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E62EDC38-5F59-4624-9353-12D2DBD20BE5}">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1D13A713-9975-4972-8EFF-D7230EF8666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3B83C0D0-39FA-460A-991B-2A73421D6D1A}">
      <text>
        <r>
          <rPr>
            <b/>
            <sz val="9"/>
            <color indexed="81"/>
            <rFont val="Tahoma"/>
            <family val="2"/>
          </rPr>
          <t>Andy Gleadall:</t>
        </r>
        <r>
          <rPr>
            <sz val="9"/>
            <color indexed="81"/>
            <rFont val="Tahoma"/>
            <family val="2"/>
          </rPr>
          <t xml:space="preserve">
Tool selected at the end of the startGCODE</t>
        </r>
      </text>
    </comment>
    <comment ref="S15" authorId="0" shapeId="0" xr:uid="{187F94D2-116F-4CF7-8510-EA5BBAC0C61C}">
      <text>
        <r>
          <rPr>
            <b/>
            <sz val="9"/>
            <color indexed="81"/>
            <rFont val="Tahoma"/>
            <family val="2"/>
          </rPr>
          <t>Andy Gleadall:</t>
        </r>
        <r>
          <rPr>
            <sz val="9"/>
            <color indexed="81"/>
            <rFont val="Tahoma"/>
            <family val="2"/>
          </rPr>
          <t xml:space="preserve">
ONLY USED IF MANUALLY LINKED TO START GCODE</t>
        </r>
      </text>
    </comment>
    <comment ref="S16" authorId="0" shapeId="0" xr:uid="{AB3DF2B1-E3EE-42E8-8DBE-50266F819FD1}">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0D3DC18A-C5DA-400F-A77F-AF69B4879AF7}">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92405CDF-ADF8-4FDB-BBDC-0032EEDC5E82}">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94752F1D-01A9-487E-810A-070D3D35A8A5}">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046EBAF1-0C9D-46CD-AFE7-41B6B985DC4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C8AB97DA-EE58-4282-B584-4B104755E12F}">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F0BE9FE8-1A03-4680-9ACA-39888B6CF3C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8EFEEF69-B6F1-4850-923C-B3BC313D55C2}">
      <text>
        <r>
          <rPr>
            <b/>
            <sz val="9"/>
            <color indexed="81"/>
            <rFont val="Tahoma"/>
            <family val="2"/>
          </rPr>
          <t>Andy Gleadall:</t>
        </r>
        <r>
          <rPr>
            <sz val="9"/>
            <color indexed="81"/>
            <rFont val="Tahoma"/>
            <family val="2"/>
          </rPr>
          <t xml:space="preserve">
Position af the nozzle at the end of the StartGCODE</t>
        </r>
      </text>
    </comment>
    <comment ref="S24" authorId="0" shapeId="0" xr:uid="{26A82699-D5CF-4B6E-B6AA-DFA682F6C5E5}">
      <text>
        <r>
          <rPr>
            <b/>
            <sz val="9"/>
            <color indexed="81"/>
            <rFont val="Tahoma"/>
            <family val="2"/>
          </rPr>
          <t>Andy Gleadall:</t>
        </r>
        <r>
          <rPr>
            <sz val="9"/>
            <color indexed="81"/>
            <rFont val="Tahoma"/>
            <family val="2"/>
          </rPr>
          <t xml:space="preserve">
Position af the nozzle at the end of the StartGCODE</t>
        </r>
      </text>
    </comment>
    <comment ref="S25" authorId="0" shapeId="0" xr:uid="{3D5E09DE-9472-444D-B4DA-26A06D392139}">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F2D4D41D-5C32-464E-A319-75FDF6D79303}">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0DF5DFB2-3B00-4286-AC0D-4D6C4CCA472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888DE1B4-3256-4AFF-BE27-471BBE09EA2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CB62FD12-4AD1-49E1-954B-C4F328284F23}">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7BDFA4D3-F3A7-4814-8499-84269B7618B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179E93CE-30F4-4973-BCBC-9DA3D45C339F}">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13E1714-9E0F-4C57-B931-E7B45CA79127}">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5CCFA1A5-C213-48FF-80F7-23378E7CA90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3515A283-EA1E-4CF2-9CFD-A47CAF5058B1}">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9236F5E6-02A4-498E-B0F5-BAAFDA03DED3}">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51E09AA-1B74-41BD-B5E2-1B4F570E4E1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54A03D55-A9D8-42A4-A79C-A33773858AE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BA1E9-D785-48A8-9591-C6559E5D66B6}">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E417856B-0974-44FD-A3BA-4A21848168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C3A6103-422E-4766-9F9C-5B522DF5445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49765D68-0220-48F2-8066-558DFB7FCA2A}">
      <text>
        <r>
          <rPr>
            <b/>
            <sz val="9"/>
            <color indexed="81"/>
            <rFont val="Tahoma"/>
            <family val="2"/>
          </rPr>
          <t>Andy Gleadall:</t>
        </r>
        <r>
          <rPr>
            <sz val="9"/>
            <color indexed="81"/>
            <rFont val="Tahoma"/>
            <family val="2"/>
          </rPr>
          <t xml:space="preserve">
Tool selected at the end of the startGCODE</t>
        </r>
      </text>
    </comment>
    <comment ref="S12" authorId="0" shapeId="0" xr:uid="{568D472B-4D5D-4061-BCA7-80965F64AD63}">
      <text>
        <r>
          <rPr>
            <b/>
            <sz val="9"/>
            <color indexed="81"/>
            <rFont val="Tahoma"/>
            <family val="2"/>
          </rPr>
          <t>Andy Gleadall:</t>
        </r>
        <r>
          <rPr>
            <sz val="9"/>
            <color indexed="81"/>
            <rFont val="Tahoma"/>
            <family val="2"/>
          </rPr>
          <t xml:space="preserve">
ONLY USED IF MANUALLY LINKED TO START GCODE</t>
        </r>
      </text>
    </comment>
    <comment ref="S13" authorId="0" shapeId="0" xr:uid="{812B3A40-C438-44A4-B07E-495BC0BEAE28}">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C8D0ECC3-5895-40D9-83A5-95168E4884E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B8EE6D1A-C3CC-4DFC-8E1D-CF00C00B6762}">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2887A7A1-F7D2-41AE-AE7E-67511AF69D5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180ACB51-C1BA-4130-929C-1E57F5C81E9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3A311B0E-93DF-4C74-AF9D-3E70F988717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99A1DEA3-973D-4588-8215-1C53B30CFA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35C3526D-A162-449C-A457-3DFE2BD84DED}">
      <text>
        <r>
          <rPr>
            <b/>
            <sz val="9"/>
            <color indexed="81"/>
            <rFont val="Tahoma"/>
            <family val="2"/>
          </rPr>
          <t>Andy Gleadall:</t>
        </r>
        <r>
          <rPr>
            <sz val="9"/>
            <color indexed="81"/>
            <rFont val="Tahoma"/>
            <family val="2"/>
          </rPr>
          <t xml:space="preserve">
Position af the nozzle at the end of the StartGCODE</t>
        </r>
      </text>
    </comment>
    <comment ref="S21" authorId="0" shapeId="0" xr:uid="{74E132A9-5C93-4572-8F30-5A4B2E746164}">
      <text>
        <r>
          <rPr>
            <b/>
            <sz val="9"/>
            <color indexed="81"/>
            <rFont val="Tahoma"/>
            <family val="2"/>
          </rPr>
          <t>Andy Gleadall:</t>
        </r>
        <r>
          <rPr>
            <sz val="9"/>
            <color indexed="81"/>
            <rFont val="Tahoma"/>
            <family val="2"/>
          </rPr>
          <t xml:space="preserve">
Position af the nozzle at the end of the StartGCODE</t>
        </r>
      </text>
    </comment>
    <comment ref="S22" authorId="0" shapeId="0" xr:uid="{6231812F-54FC-443C-A833-78BE4697E993}">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1F4E199E-41D0-4521-AA30-568933C730F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D69B9A97-A37F-41B8-B1CE-5D95EE174F5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EAADAD6E-AC85-4BE2-89B4-F60BA0580F33}">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271D24A9-7E54-4486-B45B-405161D58B3B}">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EF5977DB-DF69-40F6-B54E-EF3A03F01B9C}">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401E1C62-27BC-447F-8E08-8E2208A8CA2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A375C87-E815-444A-B7EF-9CE4A2E827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1527DACD-E85C-4B86-B92C-BDC7394AF47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1FA10A00-F3B1-44EF-8D98-27E71CA19B35}">
      <text>
        <r>
          <rPr>
            <b/>
            <sz val="9"/>
            <color indexed="81"/>
            <rFont val="Tahoma"/>
            <family val="2"/>
          </rPr>
          <t>Andy Gleadall:</t>
        </r>
        <r>
          <rPr>
            <sz val="9"/>
            <color indexed="81"/>
            <rFont val="Tahoma"/>
            <family val="2"/>
          </rPr>
          <t xml:space="preserve">
Not used, but good practice!</t>
        </r>
      </text>
    </comment>
    <comment ref="A57" authorId="0" shapeId="0" xr:uid="{A69E08FF-9005-4622-99F4-D075BAA8F14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7" authorId="0" shapeId="0" xr:uid="{2884277F-160F-490E-A5C1-536121D4BD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0" authorId="0" shapeId="0" xr:uid="{32A10441-5F5C-4B71-91C1-FB92A5607E7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61" authorId="0" shapeId="0" xr:uid="{7642882E-0250-4867-A972-631CC5B92F04}">
      <text>
        <r>
          <rPr>
            <b/>
            <sz val="9"/>
            <color indexed="81"/>
            <rFont val="Tahoma"/>
            <family val="2"/>
          </rPr>
          <t>Andy Gleadall:</t>
        </r>
        <r>
          <rPr>
            <sz val="9"/>
            <color indexed="81"/>
            <rFont val="Tahoma"/>
            <family val="2"/>
          </rPr>
          <t xml:space="preserve">
Only applied to GCODE - not the data in the Printpath worksheet</t>
        </r>
      </text>
    </comment>
    <comment ref="S62" authorId="0" shapeId="0" xr:uid="{19615160-CA1F-48F8-AD79-A17D6DA97875}">
      <text>
        <r>
          <rPr>
            <b/>
            <sz val="9"/>
            <color indexed="81"/>
            <rFont val="Tahoma"/>
            <family val="2"/>
          </rPr>
          <t>Andy Gleadall:</t>
        </r>
        <r>
          <rPr>
            <sz val="9"/>
            <color indexed="81"/>
            <rFont val="Tahoma"/>
            <family val="2"/>
          </rPr>
          <t xml:space="preserve">
Only applied to GCODE - not the data in the Printpath worksheet</t>
        </r>
      </text>
    </comment>
    <comment ref="S63" authorId="0" shapeId="0" xr:uid="{6C23E10C-EC0C-4676-AB80-95F3C2E0FFF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4" authorId="0" shapeId="0" xr:uid="{588A06AE-B2A8-42FE-BF58-EF4C3F522CC0}">
      <text>
        <r>
          <rPr>
            <b/>
            <sz val="9"/>
            <color indexed="81"/>
            <rFont val="Tahoma"/>
            <family val="2"/>
          </rPr>
          <t>Andy Gleadall:</t>
        </r>
        <r>
          <rPr>
            <sz val="9"/>
            <color indexed="81"/>
            <rFont val="Tahoma"/>
            <family val="2"/>
          </rPr>
          <t xml:space="preserve">
Tool selected at the end of the startGCODE</t>
        </r>
      </text>
    </comment>
    <comment ref="S66" authorId="0" shapeId="0" xr:uid="{52DA8769-325F-4085-A1F8-E426DCA51205}">
      <text>
        <r>
          <rPr>
            <b/>
            <sz val="9"/>
            <color indexed="81"/>
            <rFont val="Tahoma"/>
            <family val="2"/>
          </rPr>
          <t>Andy Gleadall:</t>
        </r>
        <r>
          <rPr>
            <sz val="9"/>
            <color indexed="81"/>
            <rFont val="Tahoma"/>
            <family val="2"/>
          </rPr>
          <t xml:space="preserve">
ONLY USED IF MANUALLY LINKED TO START GCODE</t>
        </r>
      </text>
    </comment>
    <comment ref="S67" authorId="0" shapeId="0" xr:uid="{BA76C69E-65C4-4FE1-BAD2-6FBCA0B9B723}">
      <text>
        <r>
          <rPr>
            <b/>
            <sz val="9"/>
            <color indexed="81"/>
            <rFont val="Tahoma"/>
            <family val="2"/>
          </rPr>
          <t>Andy Gleadall:</t>
        </r>
        <r>
          <rPr>
            <sz val="9"/>
            <color indexed="81"/>
            <rFont val="Tahoma"/>
            <family val="2"/>
          </rPr>
          <t xml:space="preserve">
Default speed when the nozzle is moving and extruding material</t>
        </r>
      </text>
    </comment>
    <comment ref="S68" authorId="0" shapeId="0" xr:uid="{6D3424D7-D19F-43DC-8639-E3A8E0CCEF79}">
      <text>
        <r>
          <rPr>
            <b/>
            <sz val="9"/>
            <color indexed="81"/>
            <rFont val="Tahoma"/>
            <family val="2"/>
          </rPr>
          <t>Andy Gleadall:</t>
        </r>
        <r>
          <rPr>
            <sz val="9"/>
            <color indexed="81"/>
            <rFont val="Tahoma"/>
            <family val="2"/>
          </rPr>
          <t xml:space="preserve">
Default speed when the nozzle is moving whilst not extruding</t>
        </r>
      </text>
    </comment>
    <comment ref="S69" authorId="0" shapeId="0" xr:uid="{3F99FCA7-1ADA-4931-88E2-56CFD3D95356}">
      <text>
        <r>
          <rPr>
            <b/>
            <sz val="9"/>
            <color indexed="81"/>
            <rFont val="Tahoma"/>
            <family val="2"/>
          </rPr>
          <t>Andy Gleadall:</t>
        </r>
        <r>
          <rPr>
            <sz val="9"/>
            <color indexed="81"/>
            <rFont val="Tahoma"/>
            <family val="2"/>
          </rPr>
          <t xml:space="preserve">
This value is only used if it is manually linked to the start GCODE.</t>
        </r>
      </text>
    </comment>
    <comment ref="S70" authorId="0" shapeId="0" xr:uid="{0FEB6507-34DA-440E-989C-E85C71AF7D9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71" authorId="0" shapeId="0" xr:uid="{F9AF37B3-1100-44C4-8EF4-7654D2C7592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72" authorId="0" shapeId="0" xr:uid="{7D4890D3-D1BB-4878-9595-D642D594E68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3" authorId="0" shapeId="0" xr:uid="{629EB6B9-EBEB-49FD-AEBE-609E08468C1F}">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4" authorId="0" shapeId="0" xr:uid="{734AE007-D006-4BF8-BEB2-4F2D4932BFB7}">
      <text>
        <r>
          <rPr>
            <b/>
            <sz val="9"/>
            <color indexed="81"/>
            <rFont val="Tahoma"/>
            <family val="2"/>
          </rPr>
          <t>Andy Gleadall:</t>
        </r>
        <r>
          <rPr>
            <sz val="9"/>
            <color indexed="81"/>
            <rFont val="Tahoma"/>
            <family val="2"/>
          </rPr>
          <t xml:space="preserve">
Position af the nozzle at the end of the StartGCODE</t>
        </r>
      </text>
    </comment>
    <comment ref="S75" authorId="0" shapeId="0" xr:uid="{DA763B05-84C9-4FE3-9948-A0771C242005}">
      <text>
        <r>
          <rPr>
            <b/>
            <sz val="9"/>
            <color indexed="81"/>
            <rFont val="Tahoma"/>
            <family val="2"/>
          </rPr>
          <t>Andy Gleadall:</t>
        </r>
        <r>
          <rPr>
            <sz val="9"/>
            <color indexed="81"/>
            <rFont val="Tahoma"/>
            <family val="2"/>
          </rPr>
          <t xml:space="preserve">
Position af the nozzle at the end of the StartGCODE</t>
        </r>
      </text>
    </comment>
    <comment ref="S76" authorId="0" shapeId="0" xr:uid="{1DE211F9-25B4-48F4-BED5-3750479F9C3D}">
      <text>
        <r>
          <rPr>
            <b/>
            <sz val="9"/>
            <color indexed="81"/>
            <rFont val="Tahoma"/>
            <family val="2"/>
          </rPr>
          <t>Andy Gleadall:</t>
        </r>
        <r>
          <rPr>
            <sz val="9"/>
            <color indexed="81"/>
            <rFont val="Tahoma"/>
            <family val="2"/>
          </rPr>
          <t xml:space="preserve">
Position af the nozzle at the end of the StartGCODE - EXCLUDING THE Zoffset!</t>
        </r>
      </text>
    </comment>
    <comment ref="S77" authorId="0" shapeId="0" xr:uid="{061FCFB5-0399-4E01-A018-7728AC4135AF}">
      <text>
        <r>
          <rPr>
            <b/>
            <sz val="9"/>
            <color indexed="81"/>
            <rFont val="Tahoma"/>
            <family val="2"/>
          </rPr>
          <t>Andy Gleadall:</t>
        </r>
        <r>
          <rPr>
            <sz val="9"/>
            <color indexed="81"/>
            <rFont val="Tahoma"/>
            <family val="2"/>
          </rPr>
          <t xml:space="preserve">
This value is only used if it is manually linked to the start GCODE.</t>
        </r>
      </text>
    </comment>
    <comment ref="S78" authorId="0" shapeId="0" xr:uid="{98F2697F-52C7-46BB-BB35-41D15EE499AC}">
      <text>
        <r>
          <rPr>
            <b/>
            <sz val="9"/>
            <color indexed="81"/>
            <rFont val="Tahoma"/>
            <family val="2"/>
          </rPr>
          <t>Andy Gleadall:</t>
        </r>
        <r>
          <rPr>
            <sz val="9"/>
            <color indexed="81"/>
            <rFont val="Tahoma"/>
            <family val="2"/>
          </rPr>
          <t xml:space="preserve">
Leave as "no" unless you've watched the relevant tutorial video</t>
        </r>
      </text>
    </comment>
    <comment ref="S79" authorId="0" shapeId="0" xr:uid="{5DD97851-8287-4180-9942-28AA4D02832F}">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82" authorId="0" shapeId="0" xr:uid="{3E77AE07-FACB-4B86-87B8-4CB24BFC49F1}">
      <text>
        <r>
          <rPr>
            <b/>
            <sz val="9"/>
            <color indexed="81"/>
            <rFont val="Tahoma"/>
            <family val="2"/>
          </rPr>
          <t>Andy Gleadall:</t>
        </r>
        <r>
          <rPr>
            <sz val="9"/>
            <color indexed="81"/>
            <rFont val="Tahoma"/>
            <family val="2"/>
          </rPr>
          <t xml:space="preserve">
Unretraction occurs at the end of the non-extruding travel movement</t>
        </r>
      </text>
    </comment>
    <comment ref="S83" authorId="0" shapeId="0" xr:uid="{B51A5EB2-040A-4AB2-81EA-59549375A1CF}">
      <text>
        <r>
          <rPr>
            <b/>
            <sz val="9"/>
            <color indexed="81"/>
            <rFont val="Tahoma"/>
            <family val="2"/>
          </rPr>
          <t>Andy Gleadall:</t>
        </r>
        <r>
          <rPr>
            <sz val="9"/>
            <color indexed="81"/>
            <rFont val="Tahoma"/>
            <family val="2"/>
          </rPr>
          <t xml:space="preserve">
Unretraction occurs at the end of the non-extruding travel movement</t>
        </r>
      </text>
    </comment>
    <comment ref="S84" authorId="0" shapeId="0" xr:uid="{A9694483-6424-4A51-9B2D-5DAB0708C396}">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7" authorId="0" shapeId="0" xr:uid="{9D735683-2DF6-4107-B8D3-7E97EBB350C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7" authorId="0" shapeId="0" xr:uid="{2C0CC330-D48A-445C-8C9F-B9736E262FB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7" authorId="0" shapeId="0" xr:uid="{D000503F-2F03-4300-93E6-3CB173DF02D6}">
      <text>
        <r>
          <rPr>
            <b/>
            <sz val="9"/>
            <color indexed="81"/>
            <rFont val="Tahoma"/>
            <family val="2"/>
          </rPr>
          <t>Andy Gleadall:</t>
        </r>
        <r>
          <rPr>
            <sz val="9"/>
            <color indexed="81"/>
            <rFont val="Tahoma"/>
            <family val="2"/>
          </rPr>
          <t xml:space="preserve">
Not used, but good practice!</t>
        </r>
      </text>
    </comment>
    <comment ref="A110" authorId="0" shapeId="0" xr:uid="{15D7B284-5812-44A6-A416-4BB4D9BB1DA3}">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10" authorId="0" shapeId="0" xr:uid="{A0FEACE0-276F-458C-A417-29860A10A52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13" authorId="0" shapeId="0" xr:uid="{CB9EF9AB-E81B-460E-BB03-638822BF3BC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14" authorId="0" shapeId="0" xr:uid="{3F0C05A3-7AA2-4CA7-BF19-F795A977729A}">
      <text>
        <r>
          <rPr>
            <b/>
            <sz val="9"/>
            <color indexed="81"/>
            <rFont val="Tahoma"/>
            <family val="2"/>
          </rPr>
          <t>Andy Gleadall:</t>
        </r>
        <r>
          <rPr>
            <sz val="9"/>
            <color indexed="81"/>
            <rFont val="Tahoma"/>
            <family val="2"/>
          </rPr>
          <t xml:space="preserve">
Only applied to GCODE - not the data in the Printpath worksheet</t>
        </r>
      </text>
    </comment>
    <comment ref="S115" authorId="0" shapeId="0" xr:uid="{3C79AFC9-29D2-4BAC-A951-C9D56352B694}">
      <text>
        <r>
          <rPr>
            <b/>
            <sz val="9"/>
            <color indexed="81"/>
            <rFont val="Tahoma"/>
            <family val="2"/>
          </rPr>
          <t>Andy Gleadall:</t>
        </r>
        <r>
          <rPr>
            <sz val="9"/>
            <color indexed="81"/>
            <rFont val="Tahoma"/>
            <family val="2"/>
          </rPr>
          <t xml:space="preserve">
Only applied to GCODE - not the data in the Printpath worksheet</t>
        </r>
      </text>
    </comment>
    <comment ref="S116" authorId="0" shapeId="0" xr:uid="{14EF9025-D6CD-4F82-9267-76A85C8AB49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7" authorId="0" shapeId="0" xr:uid="{42A69437-1F88-4FD7-8C8A-945D446E4395}">
      <text>
        <r>
          <rPr>
            <b/>
            <sz val="9"/>
            <color indexed="81"/>
            <rFont val="Tahoma"/>
            <family val="2"/>
          </rPr>
          <t>Andy Gleadall:</t>
        </r>
        <r>
          <rPr>
            <sz val="9"/>
            <color indexed="81"/>
            <rFont val="Tahoma"/>
            <family val="2"/>
          </rPr>
          <t xml:space="preserve">
Tool selected at the end of the startGCODE</t>
        </r>
      </text>
    </comment>
    <comment ref="S119" authorId="0" shapeId="0" xr:uid="{AF4325AD-5A21-4FCA-BD84-EB9C3483EA4E}">
      <text>
        <r>
          <rPr>
            <b/>
            <sz val="9"/>
            <color indexed="81"/>
            <rFont val="Tahoma"/>
            <family val="2"/>
          </rPr>
          <t>Andy Gleadall:</t>
        </r>
        <r>
          <rPr>
            <sz val="9"/>
            <color indexed="81"/>
            <rFont val="Tahoma"/>
            <family val="2"/>
          </rPr>
          <t xml:space="preserve">
ONLY USED IF MANUALLY LINKED TO START GCODE</t>
        </r>
      </text>
    </comment>
    <comment ref="S120" authorId="0" shapeId="0" xr:uid="{0A473B32-60DC-4D0F-96EB-2FB97D244723}">
      <text>
        <r>
          <rPr>
            <b/>
            <sz val="9"/>
            <color indexed="81"/>
            <rFont val="Tahoma"/>
            <family val="2"/>
          </rPr>
          <t>Andy Gleadall:</t>
        </r>
        <r>
          <rPr>
            <sz val="9"/>
            <color indexed="81"/>
            <rFont val="Tahoma"/>
            <family val="2"/>
          </rPr>
          <t xml:space="preserve">
Default speed when the nozzle is moving and extruding material</t>
        </r>
      </text>
    </comment>
    <comment ref="S121" authorId="0" shapeId="0" xr:uid="{C6C41894-8C1A-4450-BBFE-39D68EBFA784}">
      <text>
        <r>
          <rPr>
            <b/>
            <sz val="9"/>
            <color indexed="81"/>
            <rFont val="Tahoma"/>
            <family val="2"/>
          </rPr>
          <t>Andy Gleadall:</t>
        </r>
        <r>
          <rPr>
            <sz val="9"/>
            <color indexed="81"/>
            <rFont val="Tahoma"/>
            <family val="2"/>
          </rPr>
          <t xml:space="preserve">
Default speed when the nozzle is moving whilst not extruding</t>
        </r>
      </text>
    </comment>
    <comment ref="S122" authorId="0" shapeId="0" xr:uid="{670D6251-2617-4B72-8D23-363F7E4355FB}">
      <text>
        <r>
          <rPr>
            <b/>
            <sz val="9"/>
            <color indexed="81"/>
            <rFont val="Tahoma"/>
            <family val="2"/>
          </rPr>
          <t>Andy Gleadall:</t>
        </r>
        <r>
          <rPr>
            <sz val="9"/>
            <color indexed="81"/>
            <rFont val="Tahoma"/>
            <family val="2"/>
          </rPr>
          <t xml:space="preserve">
This value is only used if it is manually linked to the start GCODE.</t>
        </r>
      </text>
    </comment>
    <comment ref="S123" authorId="0" shapeId="0" xr:uid="{E1616489-2FFB-4D5D-BE5A-EBBCCD06650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24" authorId="0" shapeId="0" xr:uid="{C6C327C4-995E-42BE-8C25-FB2940A93A4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5" authorId="0" shapeId="0" xr:uid="{6AF3382F-FD42-4265-B745-FA5BA42D88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6" authorId="0" shapeId="0" xr:uid="{7A700565-6B22-4740-B654-0C63EF07480F}">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7" authorId="0" shapeId="0" xr:uid="{A5118CCD-64A0-443F-AA9E-811D7399207F}">
      <text>
        <r>
          <rPr>
            <b/>
            <sz val="9"/>
            <color indexed="81"/>
            <rFont val="Tahoma"/>
            <family val="2"/>
          </rPr>
          <t>Andy Gleadall:</t>
        </r>
        <r>
          <rPr>
            <sz val="9"/>
            <color indexed="81"/>
            <rFont val="Tahoma"/>
            <family val="2"/>
          </rPr>
          <t xml:space="preserve">
Position af the nozzle at the end of the StartGCODE</t>
        </r>
      </text>
    </comment>
    <comment ref="S128" authorId="0" shapeId="0" xr:uid="{F1233C4A-D559-4ABF-B153-71B319F88C1F}">
      <text>
        <r>
          <rPr>
            <b/>
            <sz val="9"/>
            <color indexed="81"/>
            <rFont val="Tahoma"/>
            <family val="2"/>
          </rPr>
          <t>Andy Gleadall:</t>
        </r>
        <r>
          <rPr>
            <sz val="9"/>
            <color indexed="81"/>
            <rFont val="Tahoma"/>
            <family val="2"/>
          </rPr>
          <t xml:space="preserve">
Position af the nozzle at the end of the StartGCODE</t>
        </r>
      </text>
    </comment>
    <comment ref="S129" authorId="0" shapeId="0" xr:uid="{0CEB452C-5E30-496D-8B05-4B867226AA99}">
      <text>
        <r>
          <rPr>
            <b/>
            <sz val="9"/>
            <color indexed="81"/>
            <rFont val="Tahoma"/>
            <family val="2"/>
          </rPr>
          <t>Andy Gleadall:</t>
        </r>
        <r>
          <rPr>
            <sz val="9"/>
            <color indexed="81"/>
            <rFont val="Tahoma"/>
            <family val="2"/>
          </rPr>
          <t xml:space="preserve">
Position af the nozzle at the end of the StartGCODE - EXCLUDING THE Zoffset!</t>
        </r>
      </text>
    </comment>
    <comment ref="S130" authorId="0" shapeId="0" xr:uid="{109678AD-711F-4870-B75F-1EAB41683234}">
      <text>
        <r>
          <rPr>
            <b/>
            <sz val="9"/>
            <color indexed="81"/>
            <rFont val="Tahoma"/>
            <family val="2"/>
          </rPr>
          <t>Andy Gleadall:</t>
        </r>
        <r>
          <rPr>
            <sz val="9"/>
            <color indexed="81"/>
            <rFont val="Tahoma"/>
            <family val="2"/>
          </rPr>
          <t xml:space="preserve">
This value is only used if it is manually linked to the start GCODE.</t>
        </r>
      </text>
    </comment>
    <comment ref="S131" authorId="0" shapeId="0" xr:uid="{828191EF-6F35-4A71-9D08-B777AE17B02A}">
      <text>
        <r>
          <rPr>
            <b/>
            <sz val="9"/>
            <color indexed="81"/>
            <rFont val="Tahoma"/>
            <family val="2"/>
          </rPr>
          <t>Andy Gleadall:</t>
        </r>
        <r>
          <rPr>
            <sz val="9"/>
            <color indexed="81"/>
            <rFont val="Tahoma"/>
            <family val="2"/>
          </rPr>
          <t xml:space="preserve">
Leave as "no" unless you've watched the relevant tutorial video</t>
        </r>
      </text>
    </comment>
    <comment ref="S132" authorId="0" shapeId="0" xr:uid="{F5868487-7F9A-4A92-BF75-6DD59781B07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5" authorId="0" shapeId="0" xr:uid="{4CCAE39B-19DF-4DAD-A9D4-DDA7036380EC}">
      <text>
        <r>
          <rPr>
            <b/>
            <sz val="9"/>
            <color indexed="81"/>
            <rFont val="Tahoma"/>
            <family val="2"/>
          </rPr>
          <t>Andy Gleadall:</t>
        </r>
        <r>
          <rPr>
            <sz val="9"/>
            <color indexed="81"/>
            <rFont val="Tahoma"/>
            <family val="2"/>
          </rPr>
          <t xml:space="preserve">
Unretraction occurs at the end of the non-extruding travel movement</t>
        </r>
      </text>
    </comment>
    <comment ref="S136" authorId="0" shapeId="0" xr:uid="{ACEBF337-DE33-4E95-8A37-B93A2717DF40}">
      <text>
        <r>
          <rPr>
            <b/>
            <sz val="9"/>
            <color indexed="81"/>
            <rFont val="Tahoma"/>
            <family val="2"/>
          </rPr>
          <t>Andy Gleadall:</t>
        </r>
        <r>
          <rPr>
            <sz val="9"/>
            <color indexed="81"/>
            <rFont val="Tahoma"/>
            <family val="2"/>
          </rPr>
          <t xml:space="preserve">
Unretraction occurs at the end of the non-extruding travel movement</t>
        </r>
      </text>
    </comment>
    <comment ref="S137" authorId="0" shapeId="0" xr:uid="{5D7820EA-0B30-424E-BB45-6E266574AAF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40" authorId="0" shapeId="0" xr:uid="{1E9A18E5-3FC0-4F0F-86A4-90347CEB1A1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40" authorId="0" shapeId="0" xr:uid="{74B2EB53-B529-42AD-92F0-967BA5B20A1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40" authorId="0" shapeId="0" xr:uid="{A0FB429D-56E3-4A4E-B03E-7CA581E6C78C}">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<sst xmlns="http://schemas.openxmlformats.org/spreadsheetml/2006/main" count="4177" uniqueCount="1109">
  <si>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</si>
  <si>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</si>
  <si>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</si>
  <si>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</si>
  <si>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</si>
  <si>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</si>
  <si>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</si>
  <si>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</si>
  <si>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</si>
  <si>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</si>
  <si>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</si>
  <si>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</si>
  <si>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</si>
  <si>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</si>
  <si>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</si>
  <si>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</si>
  <si>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</si>
  <si>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</si>
  <si>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</si>
  <si>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</si>
  <si>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</si>
  <si>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</si>
  <si>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</si>
  <si>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</si>
  <si>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</si>
  <si>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</si>
  <si>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</si>
  <si>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</si>
  <si>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</si>
  <si>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</si>
  <si>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</si>
  <si>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</si>
  <si>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</si>
  <si>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</si>
  <si>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</si>
  <si>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</si>
  <si>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</si>
  <si>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</si>
  <si>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</si>
  <si>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</si>
  <si>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</si>
  <si>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</si>
  <si>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</si>
  <si>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</si>
  <si>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</si>
  <si>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</si>
  <si>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</si>
  <si>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</si>
  <si>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</si>
  <si>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</si>
  <si>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</si>
  <si>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</si>
  <si>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</si>
  <si>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</si>
  <si>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</si>
  <si>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</si>
  <si>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</si>
  <si>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</si>
  <si>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</si>
  <si>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</si>
  <si>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</si>
  <si>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</si>
  <si>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</si>
  <si>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</si>
  <si>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</si>
  <si>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</si>
  <si>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</si>
  <si>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</si>
  <si>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</si>
  <si>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</si>
  <si>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</si>
  <si>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</si>
  <si>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</si>
  <si>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</si>
  <si>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</si>
  <si>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</si>
  <si>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</si>
  <si>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</si>
  <si>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</si>
  <si>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</si>
  <si>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</si>
  <si>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</si>
  <si>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</si>
  <si>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</si>
  <si>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</si>
  <si>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</si>
  <si>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</si>
  <si>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</si>
  <si>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</si>
  <si>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</si>
  <si>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</si>
  <si>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</si>
  <si>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</si>
  <si>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</si>
  <si>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</si>
  <si>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</si>
  <si>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</si>
  <si>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</si>
  <si>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</si>
  <si>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</si>
  <si>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</si>
  <si>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</si>
  <si>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</si>
  <si>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</si>
  <si>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</si>
  <si>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</si>
  <si>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</si>
  <si>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</si>
  <si>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</si>
  <si>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</si>
  <si>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</si>
  <si>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</si>
  <si>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</si>
  <si>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</si>
  <si>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</si>
  <si>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</si>
  <si>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</si>
  <si>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</si>
  <si>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</si>
  <si>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</si>
  <si>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</si>
  <si>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</si>
  <si>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</si>
  <si>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</si>
  <si>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</si>
  <si>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</si>
  <si>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</si>
  <si>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</si>
  <si>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</si>
  <si>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</si>
  <si>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</si>
  <si>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</si>
  <si>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</si>
  <si>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</si>
  <si>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</si>
  <si>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</si>
  <si>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</si>
  <si>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</si>
  <si>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</si>
  <si>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</si>
  <si>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</si>
  <si>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</si>
  <si>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</si>
  <si>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</si>
  <si>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</si>
  <si>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</si>
  <si>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</si>
  <si>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</si>
  <si>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</si>
  <si>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</si>
  <si>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</si>
  <si>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</si>
  <si>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</si>
  <si>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</si>
  <si>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</si>
  <si>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</si>
  <si>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</si>
  <si>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</si>
  <si>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</si>
  <si>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</si>
  <si>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</si>
  <si>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</si>
  <si>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</si>
  <si>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</si>
  <si>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</si>
  <si>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</si>
  <si>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</si>
  <si>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</si>
  <si>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</si>
  <si>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</si>
  <si>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</si>
  <si>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</si>
  <si>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</si>
  <si>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</si>
  <si>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</si>
  <si>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</si>
  <si>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</si>
  <si>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</si>
  <si>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</si>
  <si>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</si>
  <si>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</si>
  <si>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</si>
  <si>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</si>
  <si>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</si>
  <si>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</si>
  <si>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</si>
  <si>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</si>
  <si>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</si>
  <si>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</si>
  <si>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</si>
  <si>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</si>
  <si>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</si>
  <si>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</si>
  <si>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</si>
  <si>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</si>
  <si>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</si>
  <si>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</si>
  <si>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</si>
  <si>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</si>
  <si>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</si>
  <si>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</si>
  <si>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</si>
  <si>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</si>
  <si>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</si>
  <si>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</si>
  <si>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</si>
  <si>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</si>
  <si>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</si>
  <si>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</si>
  <si>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</si>
  <si>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</si>
  <si>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</si>
  <si>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</si>
  <si>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</si>
  <si>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</si>
  <si>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</si>
  <si>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</si>
  <si>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</si>
  <si>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</si>
  <si>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</si>
  <si>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</si>
  <si>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</si>
  <si>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</si>
  <si>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</si>
  <si>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</si>
  <si>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</si>
  <si>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</si>
  <si>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</si>
  <si>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</si>
  <si>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</si>
  <si>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</si>
  <si>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</si>
  <si>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</si>
  <si>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</si>
  <si>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</si>
  <si>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</si>
  <si>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</si>
  <si>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</si>
  <si>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</si>
  <si>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</si>
  <si>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</si>
  <si>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</si>
  <si>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</si>
  <si>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</si>
  <si>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</si>
  <si>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</si>
  <si>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</si>
  <si>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</si>
  <si>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</si>
  <si>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</si>
  <si>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</si>
  <si>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</si>
  <si>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</si>
  <si>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</si>
  <si>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</si>
  <si>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</si>
  <si>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</si>
  <si>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</si>
  <si>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</si>
  <si>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</si>
  <si>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</si>
  <si>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</si>
  <si>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</si>
  <si>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</si>
  <si>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</si>
  <si>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</si>
  <si>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</si>
  <si>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</si>
  <si>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</si>
  <si>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</si>
  <si>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</si>
  <si>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</si>
  <si>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</si>
  <si>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</si>
  <si>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</si>
  <si>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</si>
  <si>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</si>
  <si>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</si>
  <si>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</si>
  <si>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</si>
  <si>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</si>
  <si>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</si>
  <si>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</si>
  <si>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</si>
  <si>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</si>
  <si>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</si>
  <si>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</si>
  <si>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</si>
  <si>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</si>
  <si>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</si>
  <si>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</si>
  <si>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</si>
  <si>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</si>
  <si>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</si>
  <si>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</si>
  <si>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</si>
  <si>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</si>
  <si>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</si>
  <si>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</si>
  <si>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</si>
  <si>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</si>
  <si>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</si>
  <si>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</si>
  <si>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</si>
  <si>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</si>
  <si>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</si>
  <si>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</si>
  <si>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</si>
  <si>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</si>
  <si>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</si>
  <si>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</si>
  <si>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</si>
  <si>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</si>
  <si>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</si>
  <si>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</si>
  <si>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</si>
  <si>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</si>
  <si>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</si>
  <si>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</si>
  <si>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</si>
  <si>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</si>
  <si>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</si>
  <si>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</si>
  <si>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</si>
  <si>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</si>
  <si>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</si>
  <si>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</si>
  <si>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</si>
  <si>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</si>
  <si>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</si>
  <si>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</si>
  <si>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</si>
  <si>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</si>
  <si>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</si>
  <si>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</si>
  <si>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</si>
  <si>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</si>
  <si>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</si>
  <si>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</si>
  <si>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</si>
  <si>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</si>
  <si>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</si>
  <si>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</si>
  <si>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</si>
  <si>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</si>
  <si>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</si>
  <si>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</si>
  <si>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</si>
  <si>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</si>
  <si>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</si>
  <si>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</si>
  <si>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</si>
  <si>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</si>
  <si>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</si>
  <si>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</si>
  <si>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</si>
  <si>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</si>
  <si>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</si>
  <si>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</si>
  <si>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</si>
  <si>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</si>
  <si>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</si>
  <si>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</si>
  <si>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</si>
  <si>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</si>
  <si>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</si>
  <si>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</si>
  <si>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</si>
  <si>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</si>
  <si>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</si>
  <si>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</si>
  <si>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</si>
  <si>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</si>
  <si>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</si>
  <si>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</si>
  <si>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</si>
  <si>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</si>
  <si>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</si>
  <si>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</si>
  <si>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</si>
  <si>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</si>
  <si>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</si>
  <si>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</si>
  <si>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</si>
  <si>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</si>
  <si>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</si>
  <si>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</si>
  <si>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</si>
  <si>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</si>
  <si>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</si>
  <si>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</si>
  <si>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</si>
  <si>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</si>
  <si>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</si>
  <si>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</si>
  <si>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</si>
  <si>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</si>
  <si>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</si>
  <si>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</si>
  <si>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</si>
  <si>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</si>
  <si>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</si>
  <si>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</si>
  <si>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</si>
  <si>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</si>
  <si>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</si>
  <si>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</si>
  <si>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</si>
  <si>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</si>
  <si>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</si>
  <si>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</si>
  <si>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</si>
  <si>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</si>
  <si>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</si>
  <si>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</si>
  <si>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</si>
  <si>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</si>
  <si>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</si>
  <si>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</si>
  <si>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</si>
  <si>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</si>
  <si>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</si>
  <si>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</si>
  <si>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</si>
  <si>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</si>
  <si>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</si>
  <si>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</si>
  <si>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</si>
  <si>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</si>
  <si>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</si>
  <si>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</si>
  <si>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</si>
  <si>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</si>
  <si>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</si>
  <si>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</si>
  <si>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</si>
  <si>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</si>
  <si>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</si>
  <si>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</si>
  <si>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</si>
  <si>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</si>
  <si>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</si>
  <si>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</si>
  <si>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</si>
  <si>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</si>
  <si>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</si>
  <si>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</si>
  <si>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</si>
  <si>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</si>
  <si>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</si>
  <si>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</si>
  <si>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</si>
  <si>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</si>
  <si>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</si>
  <si>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</si>
  <si>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</si>
  <si>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</si>
  <si>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</si>
  <si>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</si>
  <si>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</si>
  <si>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</si>
  <si>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</si>
  <si>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</si>
  <si>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</si>
  <si>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</si>
  <si>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</si>
  <si>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</si>
  <si>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</si>
  <si>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</si>
  <si>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</si>
  <si>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</si>
  <si>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</si>
  <si>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</si>
  <si>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</si>
  <si>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</si>
  <si>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</si>
  <si>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</si>
  <si>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</si>
  <si>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</si>
  <si>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</si>
  <si>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</si>
  <si>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</si>
  <si>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</si>
  <si>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</si>
  <si>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</si>
  <si>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</si>
  <si>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</si>
  <si>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</si>
  <si>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</si>
  <si>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</si>
  <si>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</si>
  <si>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</si>
  <si>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</si>
  <si>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</si>
  <si>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</si>
  <si>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</si>
  <si>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</si>
  <si>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</si>
  <si>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</si>
  <si>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</si>
  <si>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</si>
  <si>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</si>
  <si>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</si>
  <si>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</si>
  <si>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</si>
  <si>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</si>
  <si>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</si>
  <si>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</si>
  <si>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</si>
  <si>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</si>
  <si>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</si>
  <si>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</si>
  <si>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</si>
  <si>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</si>
  <si>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</si>
  <si>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</si>
  <si>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</si>
  <si>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</si>
  <si>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</si>
  <si>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</si>
  <si>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</si>
  <si>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</si>
  <si>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</si>
  <si>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</si>
  <si>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</si>
  <si>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</si>
  <si>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</si>
  <si>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</si>
  <si>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</si>
  <si>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</si>
  <si>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</si>
  <si>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</si>
  <si>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</si>
  <si>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</si>
  <si>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</si>
  <si>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</si>
  <si>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</si>
  <si>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</si>
  <si>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</si>
  <si>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</si>
  <si>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</si>
  <si>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</si>
  <si>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</si>
  <si>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</si>
  <si>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</si>
  <si>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</si>
  <si>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</si>
  <si>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</si>
  <si>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</si>
  <si>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</si>
  <si>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</si>
  <si>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</si>
  <si>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</si>
  <si>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</si>
  <si>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</si>
  <si>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</si>
  <si>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</si>
  <si>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</si>
  <si>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</si>
  <si>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</si>
  <si>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</si>
  <si>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</si>
  <si>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</si>
  <si>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</si>
  <si>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</si>
  <si>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</si>
  <si>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</si>
  <si>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</si>
  <si>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</si>
  <si>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</si>
  <si>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</si>
  <si>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</si>
  <si>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</si>
  <si>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</si>
  <si>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</si>
  <si>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</si>
  <si>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</si>
  <si>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</si>
  <si>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</si>
  <si>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</si>
  <si>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</si>
  <si>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</si>
  <si>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</si>
  <si>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</si>
  <si>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</si>
  <si>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</si>
  <si>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</si>
  <si>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</si>
  <si>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</si>
  <si>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</si>
  <si>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</si>
  <si>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</si>
  <si>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</si>
  <si>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</si>
  <si>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</si>
  <si>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</si>
  <si>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</si>
  <si>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</si>
  <si>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</si>
  <si>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</si>
  <si>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</si>
  <si>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</si>
  <si>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</si>
  <si>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</si>
  <si>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</si>
  <si>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</si>
  <si>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</si>
  <si>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</si>
  <si>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</si>
  <si>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</si>
  <si>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</si>
  <si>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</si>
  <si>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</si>
  <si>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</si>
  <si>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</si>
  <si>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</si>
  <si>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</si>
  <si>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</si>
  <si>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</si>
  <si>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</si>
  <si>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</si>
  <si>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</si>
  <si>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</si>
  <si>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</si>
  <si>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</si>
  <si>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</si>
  <si>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</si>
  <si>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</si>
  <si>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</si>
  <si>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</si>
  <si>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</si>
  <si>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</si>
  <si>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</si>
  <si>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</si>
  <si>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</si>
  <si>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</si>
  <si>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</si>
  <si>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</si>
  <si>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</si>
  <si>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</si>
  <si>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</si>
  <si>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</si>
  <si>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</si>
  <si>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</si>
  <si>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</si>
  <si>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</si>
  <si>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</si>
  <si>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</si>
  <si>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</si>
  <si>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</si>
  <si>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</si>
  <si>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</si>
  <si>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</si>
  <si>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</si>
  <si>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</si>
  <si>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</si>
  <si>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</si>
  <si>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</si>
  <si>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</si>
  <si>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</si>
  <si>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</si>
  <si>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</si>
  <si>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</si>
  <si>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</si>
  <si>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</si>
  <si>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</si>
  <si>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</si>
  <si>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</si>
  <si>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</si>
  <si>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</si>
  <si>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</si>
  <si>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</si>
  <si>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</si>
  <si>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</si>
  <si>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</si>
  <si>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</si>
  <si>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</si>
  <si>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</si>
  <si>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</si>
  <si>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</si>
  <si>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</si>
  <si>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</si>
  <si>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</si>
  <si>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</si>
  <si>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</si>
  <si>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</si>
  <si>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</si>
  <si>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</si>
  <si>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</si>
  <si>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</si>
  <si>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</si>
  <si>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</si>
  <si>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</si>
  <si>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</si>
  <si>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</si>
  <si>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</si>
  <si>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</si>
  <si>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</si>
  <si>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</si>
  <si>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</si>
  <si>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</si>
  <si>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</si>
  <si>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</si>
  <si>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</si>
  <si>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</si>
  <si>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</si>
  <si>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</si>
  <si>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</si>
  <si>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</si>
  <si>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</si>
  <si>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</si>
  <si>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</si>
  <si>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</si>
  <si>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</si>
  <si>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</si>
  <si>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</si>
  <si>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</si>
  <si>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</si>
  <si>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</si>
  <si>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</si>
  <si>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</si>
  <si>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</si>
  <si>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</si>
  <si>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</si>
  <si>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</si>
  <si>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</si>
  <si>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</si>
  <si>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</si>
  <si>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</si>
  <si>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</si>
  <si>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</si>
  <si>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</si>
  <si>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</si>
  <si>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</si>
  <si>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</si>
  <si>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</si>
  <si>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</si>
  <si>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</si>
  <si>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</si>
  <si>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</si>
  <si>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</si>
  <si>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</si>
  <si>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</si>
  <si>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</si>
  <si>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</si>
  <si>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</si>
  <si>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</si>
  <si>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</si>
  <si>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</si>
  <si>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</si>
  <si>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</si>
  <si>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</si>
  <si>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</si>
  <si>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</si>
  <si>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</si>
  <si>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</si>
  <si>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</si>
  <si>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</si>
  <si>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</si>
  <si>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</si>
  <si>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</si>
  <si>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</si>
  <si>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</si>
  <si>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</si>
  <si>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</si>
  <si>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</si>
  <si>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</si>
  <si>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</si>
  <si>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</si>
  <si>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</si>
  <si>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</si>
  <si>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</si>
  <si>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</si>
  <si>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</si>
  <si>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</si>
  <si>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</si>
  <si>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</si>
  <si>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</si>
  <si>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</si>
  <si>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</si>
  <si>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</si>
  <si>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</si>
  <si>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</si>
  <si>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</si>
  <si>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</si>
  <si>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</si>
  <si>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</si>
  <si>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</si>
  <si>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</si>
  <si>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</si>
  <si>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</si>
  <si>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</si>
  <si>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</si>
  <si>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</si>
  <si>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</si>
  <si>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</si>
  <si>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</si>
  <si>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</si>
  <si>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</si>
  <si>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</si>
  <si>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</si>
  <si>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</si>
  <si>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</si>
  <si>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</si>
  <si>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</si>
  <si>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</si>
  <si>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</si>
  <si>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</si>
  <si>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</si>
  <si>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</si>
  <si>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</si>
  <si>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</si>
  <si>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</si>
  <si>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</si>
  <si>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</si>
  <si>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</si>
  <si>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</si>
  <si>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</si>
  <si>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</si>
  <si>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</si>
  <si>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</si>
  <si>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</si>
  <si>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</si>
  <si>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</si>
  <si>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</si>
  <si>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</si>
  <si>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</si>
  <si>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</si>
  <si>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</si>
  <si>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</si>
  <si>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</si>
  <si>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</si>
  <si>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</si>
  <si>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</si>
  <si>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</si>
  <si>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</si>
  <si>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</si>
  <si>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</si>
  <si>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</si>
  <si>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</si>
  <si>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</si>
  <si>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</si>
  <si>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</si>
  <si>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</si>
  <si>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</si>
  <si>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</si>
  <si>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</si>
  <si>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</si>
  <si>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</si>
  <si>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</si>
  <si>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</si>
  <si>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</si>
  <si>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</si>
  <si>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</si>
  <si>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</si>
  <si>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</si>
  <si>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</si>
  <si>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</si>
  <si>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</si>
  <si>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</si>
  <si>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</si>
  <si>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</si>
  <si>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</si>
  <si>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</si>
  <si>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</si>
  <si>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</si>
  <si>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</si>
  <si>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</si>
  <si>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</si>
  <si>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</si>
  <si>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</si>
  <si>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</si>
  <si>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FLOW STABILISER - AKA PRIMER</t>
  </si>
  <si>
    <t>SKIP_Line</t>
  </si>
  <si>
    <t>IF(Zmid&lt;LH,FW+FW*Tmid*FirstLayerEFactor,FW)</t>
  </si>
  <si>
    <t>IF(Zmid&lt;LH,NozzleFeedratePrinting/2,NozzleFeedratePrinting)</t>
  </si>
  <si>
    <t>6-7</t>
  </si>
  <si>
    <t>6-8</t>
  </si>
  <si>
    <t>6-9</t>
  </si>
  <si>
    <t>5-11</t>
  </si>
  <si>
    <t>R10</t>
  </si>
  <si>
    <t>MiniMiniRippleOriginal</t>
  </si>
  <si>
    <t>IF(Tmid&gt;1,FW,FW+FW*Tmid*FirstLayerEFactor)</t>
  </si>
  <si>
    <t>IF(Tmid&gt;1,NozzleFeedratePrinting,NozzleFeedratePrinting/2)</t>
  </si>
  <si>
    <t>LH</t>
  </si>
  <si>
    <t>FW</t>
  </si>
  <si>
    <t>Segments</t>
  </si>
  <si>
    <t>Defaul=480; increase or decrease to make more/less ripples per layer</t>
  </si>
  <si>
    <t>(22.5*(SIN(Zval/Height*0.5*pi_2))^1)+(0.5*(SIN(Zval/Height*30*2*PI()))^2)</t>
  </si>
  <si>
    <t>Skew</t>
  </si>
  <si>
    <t>0=no skew; 0.25 = quarter rotation from bottom to top; 1 = full rotation.</t>
  </si>
  <si>
    <t>pi_2</t>
  </si>
  <si>
    <t>X_1</t>
  </si>
  <si>
    <t>X_2</t>
  </si>
  <si>
    <t>LT</t>
  </si>
  <si>
    <t>TotalSegs</t>
  </si>
  <si>
    <t>PreviewFactor</t>
  </si>
  <si>
    <t>0.05 = coarse preview; 0.2 = good preview; 1  = full print path</t>
  </si>
  <si>
    <t>SpeedFactor</t>
  </si>
  <si>
    <t>Max speed / normal speed</t>
  </si>
  <si>
    <t>ExtrusionFactor</t>
  </si>
  <si>
    <t>Min extrusion / normal extrusion</t>
  </si>
  <si>
    <t>FirstLayerEFactor</t>
  </si>
  <si>
    <t>StarTipLength</t>
  </si>
  <si>
    <t>Swirl</t>
  </si>
  <si>
    <t>Swirl2</t>
  </si>
  <si>
    <t>RadInner</t>
  </si>
  <si>
    <t>RadOuter</t>
  </si>
  <si>
    <t>Ribbed</t>
  </si>
  <si>
    <t>0 or 0.16667</t>
  </si>
  <si>
    <t>FrameWidthFactor</t>
  </si>
  <si>
    <t>Ribbed - deep channels</t>
  </si>
  <si>
    <t>Amp_1</t>
  </si>
  <si>
    <t>Ribbed - moreFins</t>
  </si>
  <si>
    <t>0 or maybe 0.3333</t>
  </si>
  <si>
    <t>InnerFrameLayers</t>
  </si>
  <si>
    <t>=(LH*Tval)</t>
  </si>
  <si>
    <t>=100+RadInner+((RadOuter-RadInner)*(1-Tval))</t>
  </si>
  <si>
    <t>=(LH*Tval)+0.2</t>
  </si>
  <si>
    <t>=100+RadInner+((RadOuter-RadInner)*(1-Tval))+0</t>
  </si>
  <si>
    <t>=(LH*Tval)+0.4</t>
  </si>
  <si>
    <t>=(LH*Tval)+0.6</t>
  </si>
  <si>
    <t>=(LH*Tval)+0.8</t>
  </si>
  <si>
    <t>=(LH*Tval)+1</t>
  </si>
  <si>
    <t>=(LH*Tval)+1.2</t>
  </si>
  <si>
    <t>=(LH*Tval)+1.4</t>
  </si>
  <si>
    <t>=(LH*Tval)+1.6</t>
  </si>
  <si>
    <t>=(LH*Tval)+1.8</t>
  </si>
  <si>
    <t>=(LH*Tval)+2</t>
  </si>
  <si>
    <t>=(LH*Tval)+2.2</t>
  </si>
  <si>
    <t>=(LH*Tval)+2.4</t>
  </si>
  <si>
    <t>=(LH*Tval)+2.6</t>
  </si>
  <si>
    <t>=(LH*Tval)+2.8</t>
  </si>
  <si>
    <t>=(LH*Tval)+3</t>
  </si>
  <si>
    <t>=(LH*Tval)+3.2</t>
  </si>
  <si>
    <t>=(LH*Tval)+3.4</t>
  </si>
  <si>
    <t>=(LH*Tval)+3.6</t>
  </si>
  <si>
    <t>=(LH*Tval)+3.8</t>
  </si>
  <si>
    <t>Travel automatically added</t>
  </si>
  <si>
    <t>G0 F3600 Z0.15</t>
  </si>
  <si>
    <t>LineFeat1</t>
  </si>
  <si>
    <t>M140 S60</t>
  </si>
  <si>
    <t>M104 S210</t>
  </si>
  <si>
    <t>M109 S210</t>
  </si>
  <si>
    <t>M190 S60</t>
  </si>
  <si>
    <t>M106 S255 ; set fan speed</t>
  </si>
  <si>
    <t>Save time: 04/07/2021 10:52:40</t>
  </si>
  <si>
    <t>5-6</t>
  </si>
  <si>
    <t>5-7</t>
  </si>
  <si>
    <t>5-8</t>
  </si>
  <si>
    <t>4-10</t>
  </si>
  <si>
    <t>Bulge</t>
  </si>
  <si>
    <t>How fara apart at the lines of the frame when they kiss (as a fraction of extrusion width for frame)</t>
  </si>
  <si>
    <t>FrameLineSpacingRatio</t>
  </si>
  <si>
    <t>Lampshade_v01_neater</t>
  </si>
  <si>
    <t>Lampshade_v01_original</t>
  </si>
  <si>
    <t>Lampshade</t>
  </si>
  <si>
    <t>Segs1</t>
  </si>
  <si>
    <t>Segs2</t>
  </si>
  <si>
    <t>Shade section segments per layer</t>
  </si>
  <si>
    <t>Inner frame segments per single wavy line</t>
  </si>
  <si>
    <t>=100+(FrameLineSpacingRatio*(FrameWidthFactor*FW))+(Amp_1*Tval)*((0.5-0.5*COS((Tval^0.66)*3*pi_2))^1)</t>
  </si>
  <si>
    <t>F=400</t>
  </si>
  <si>
    <t>5,6</t>
  </si>
  <si>
    <t>5,6,7</t>
  </si>
  <si>
    <t>4</t>
  </si>
  <si>
    <t>5,6,7,8</t>
  </si>
  <si>
    <t>=100+(FrameLineSpacingRatio*(FrameWidthFactor*FW))+(Amp_1*Tval)*((0.5-0.5*COS((Tval^0.66)*3*pi_2))^1)+0</t>
  </si>
  <si>
    <t>12,13</t>
  </si>
  <si>
    <t>12,13,14</t>
  </si>
  <si>
    <t>11</t>
  </si>
  <si>
    <t>12,13,14,15</t>
  </si>
  <si>
    <t>19,20</t>
  </si>
  <si>
    <t>19,20,21</t>
  </si>
  <si>
    <t>18</t>
  </si>
  <si>
    <t>19,20,21,22</t>
  </si>
  <si>
    <t>26,27</t>
  </si>
  <si>
    <t>26,27,28</t>
  </si>
  <si>
    <t>25</t>
  </si>
  <si>
    <t>26,27,28,29</t>
  </si>
  <si>
    <t>33,34</t>
  </si>
  <si>
    <t>33,34,35</t>
  </si>
  <si>
    <t>32</t>
  </si>
  <si>
    <t>33,34,35,36</t>
  </si>
  <si>
    <t>40,41</t>
  </si>
  <si>
    <t>40,41,42</t>
  </si>
  <si>
    <t>39</t>
  </si>
  <si>
    <t>40,41,42,43</t>
  </si>
  <si>
    <t>47,48</t>
  </si>
  <si>
    <t>47,48,49</t>
  </si>
  <si>
    <t>46</t>
  </si>
  <si>
    <t>47,48,49,50</t>
  </si>
  <si>
    <t>54,55</t>
  </si>
  <si>
    <t>54,55,56</t>
  </si>
  <si>
    <t>53</t>
  </si>
  <si>
    <t>54,55,56,57</t>
  </si>
  <si>
    <t>61,62</t>
  </si>
  <si>
    <t>61,62,63</t>
  </si>
  <si>
    <t>60</t>
  </si>
  <si>
    <t>61,62,63,64</t>
  </si>
  <si>
    <t>68,69</t>
  </si>
  <si>
    <t>68,69,70</t>
  </si>
  <si>
    <t>67</t>
  </si>
  <si>
    <t>68,69,70,71</t>
  </si>
  <si>
    <t>75,76</t>
  </si>
  <si>
    <t>75,76,77</t>
  </si>
  <si>
    <t>74</t>
  </si>
  <si>
    <t>75,76,77,78</t>
  </si>
  <si>
    <t>82,83</t>
  </si>
  <si>
    <t>82,83,84</t>
  </si>
  <si>
    <t>81</t>
  </si>
  <si>
    <t>82,83,84,85</t>
  </si>
  <si>
    <t>89,90</t>
  </si>
  <si>
    <t>89,90,91</t>
  </si>
  <si>
    <t>88</t>
  </si>
  <si>
    <t>89,90,91,92</t>
  </si>
  <si>
    <t>96,97</t>
  </si>
  <si>
    <t>96,97,98</t>
  </si>
  <si>
    <t>95</t>
  </si>
  <si>
    <t>96,97,98,99</t>
  </si>
  <si>
    <t>103,104</t>
  </si>
  <si>
    <t>103,104,105</t>
  </si>
  <si>
    <t>102</t>
  </si>
  <si>
    <t>103,104,105,106</t>
  </si>
  <si>
    <t>110,111</t>
  </si>
  <si>
    <t>110,111,112</t>
  </si>
  <si>
    <t>109</t>
  </si>
  <si>
    <t>110,111,112,113</t>
  </si>
  <si>
    <t>117,118</t>
  </si>
  <si>
    <t>117,118,119</t>
  </si>
  <si>
    <t>116</t>
  </si>
  <si>
    <t>117,118,119,120</t>
  </si>
  <si>
    <t>124,125</t>
  </si>
  <si>
    <t>124,125,126</t>
  </si>
  <si>
    <t>123</t>
  </si>
  <si>
    <t>124,125,126,127</t>
  </si>
  <si>
    <t>131,132</t>
  </si>
  <si>
    <t>131,132,133</t>
  </si>
  <si>
    <t>130</t>
  </si>
  <si>
    <t>131,132,133,134</t>
  </si>
  <si>
    <t>138,139</t>
  </si>
  <si>
    <t>138,139,140</t>
  </si>
  <si>
    <t>137</t>
  </si>
  <si>
    <t>138,139,140,141</t>
  </si>
  <si>
    <t>G1 F500 X30.0 E1.0</t>
  </si>
  <si>
    <t>144</t>
  </si>
  <si>
    <t>Reflection of wavey line and arc</t>
  </si>
  <si>
    <t>Vary radius of the outermost node of inner frame (vary with height)</t>
  </si>
  <si>
    <t>Recalculate the equations features and repeat for a number of layers</t>
  </si>
  <si>
    <t>Print the shade section</t>
  </si>
  <si>
    <t>Print a wavey line inwards</t>
  </si>
  <si>
    <t>Print an arc at the centre (collar for bulb holder unit)</t>
  </si>
  <si>
    <t>Multiple polar repeats of wavey lines an inner arcs</t>
  </si>
  <si>
    <t>Postprocessing feature to vary radius with height for the shade section</t>
  </si>
  <si>
    <t>Print the whole rest of the shade section</t>
  </si>
  <si>
    <t>Move the nozzle upward quickly to finish the print</t>
  </si>
  <si>
    <t>Save time: 04/07/2021 13:20:07</t>
  </si>
  <si>
    <t>5/11/15/22 (match with Amp_1)</t>
  </si>
  <si>
    <t>11.2/15.1/17.6/21.7 (match with RadInner)</t>
  </si>
  <si>
    <t>RipD</t>
  </si>
  <si>
    <t>RipFreq</t>
  </si>
  <si>
    <t>Bulge1</t>
  </si>
  <si>
    <t>Bulge2</t>
  </si>
  <si>
    <t>TipLen</t>
  </si>
  <si>
    <t>R_0</t>
  </si>
  <si>
    <t>nTip</t>
  </si>
  <si>
    <t>ZagMin</t>
  </si>
  <si>
    <t>ZagMax</t>
  </si>
  <si>
    <t>Swerve</t>
  </si>
  <si>
    <t>radians</t>
  </si>
  <si>
    <t>How laterally offset are the lines of the frame when they kiss (as a fraction of extrusion width for frame) - the centre to centre distance of the lines in 2 * this value * the frame lines' extrusion width</t>
  </si>
  <si>
    <t>Initial radius before all the modifications</t>
  </si>
  <si>
    <t>Number of pointy start tips</t>
  </si>
  <si>
    <t>Length of the pointy star tips (extra radius to add to the initial radius)</t>
  </si>
  <si>
    <t>Depth of zigzags at the flat region of the shade (where they don't need to be deep to achieve a nice rippled texture because they are closer together (smaller radius))</t>
  </si>
  <si>
    <t>Depth of zigzags at the start tips (where they need to be deeper to still look look good deep ridges)</t>
  </si>
  <si>
    <t>Depth of tiny ripples in the Z direction</t>
  </si>
  <si>
    <t>How many tiny ripples there are in the Z direction over the whole height</t>
  </si>
  <si>
    <t>The swerving streamlines are achieved by angular offsets. This number controls the magnitude of those offsets and the amount of swerve.</t>
  </si>
  <si>
    <t>Layer height</t>
  </si>
  <si>
    <t>2*Pi</t>
  </si>
  <si>
    <t>This parameter controls how high up the shade the streamline swerves come into effect</t>
  </si>
  <si>
    <t>This parameter controls how high up the shade the streamline swerves come into effect (return to original shape at the top of the lampshade)</t>
  </si>
  <si>
    <t>Since the first layer gradually increases in height. This factor represents the amount of extra extrusion (ratio) set at the end of the layer compared to the beginning. A value of 0.5 means the extrusion increases by 50% by the end of the layer. This value would logically be set to 1, since the nozzle moves up by a whole layer (double extrusion required for double height) over the course of the first layer), but I sometimes found it better to use a smaller value)</t>
  </si>
  <si>
    <t>The is the outer radius of the waves lines of the inner frame. This value is set so the lines connect will with the outer shade section, but don't cross it too much.</t>
  </si>
  <si>
    <t>The extrusion width of the inner frame is greater than the extrusion width of the outer shade by theis factor</t>
  </si>
  <si>
    <t>This is the amplitude of the wave lines of the inner frame. To get the lines (at different angles) to touch, this will need to be adjusted if the lengths of the lines changes. Try 11.2/15.1/17.6/21.7 for the respective values of RadInner (this must also be adjusted for nTip)</t>
  </si>
  <si>
    <t>Radius of the innter ring of the inner frame. Note that the extrusion width reduces the physically inner radius of the inner ring in real life. Try 5/11/15/22  for the respective values of Amp1 (this must also be adjusted for nTip)</t>
  </si>
  <si>
    <t>How many layer of the inner frame are printed?</t>
  </si>
  <si>
    <t>This is the overall bulge of the lamp shade (to make it wider half-way up than it is at the bottom and top.</t>
  </si>
  <si>
    <t>This value controls the increase in radius for the two bulges about 1/3 and 2.3 of the way up the overall height of the lampshade</t>
  </si>
  <si>
    <t>Automatically calculated</t>
  </si>
  <si>
    <t>Overall height of the lampshade</t>
  </si>
  <si>
    <t>Filament width (extrusion width) for the lamp shade</t>
  </si>
  <si>
    <t>Lampshade_v01_parametric</t>
  </si>
  <si>
    <t>=(pi_2*Tval)-((Swerve*pi_2*SIN(Tval*nTip*pi_2+(pi_2/2))))*(((1/(1+EXP(X_1-(Zval/Height)*X_2)))*(1/(1+EXP(X_1-(1-(Zval/Height))*X_2))))-(0.5*(SIN((Zval/Height)*0.5*pi_2))^20))</t>
  </si>
  <si>
    <t>=R_0+(TipLen*(0.5+0.5*(COS(Tval*nTip*pi_2)))^2.5)+((0.5-(0.5*COS(Tval*(Segs1/2)*2*PI())))*(ZagMin+(ZagMax*(0.5+0.5*(COS(Tval*nTip*pi_2)))^2)))+(((Bulge2*(0.5+0.5*(COS((Zval/Height+0.15)*2.3*pi_2)))^1.5)))</t>
  </si>
  <si>
    <t>=(Bulge1*(SIN(Zval/Height*0.5*pi_2))^1)+(RipD*(SIN(Zval/Height*RipFreq*pi_2))^2)</t>
  </si>
  <si>
    <t>=IF(Rval&gt;=RadOuter,((((Bulge2*(0.5+0.5*(COS((Zval/Height+0.15)*2.3*pi_2)))^1.5)))-1)+((Bulge1*(SIN(Zval/Height*0.5*pi_2))^1)+(RipD*(SIN(Zval/Height*RipFreq*pi_2))^2)),0)</t>
  </si>
  <si>
    <t>=IF(Zmid&lt;LH,FW+FW*Tmid*FirstLayerEFactor,FW)</t>
  </si>
  <si>
    <t>To quickly preview the base shape and inner frame, skip features 11-14</t>
  </si>
  <si>
    <t>To quickly preview the overall profile/shape, skip features 5-8 and change the parameter Segs1 from 300 to 2 (fast 2D preview)  or nTip*2 (slower 3D preview)</t>
  </si>
  <si>
    <t>Save time: 04/07/2021 22:47:13</t>
  </si>
  <si>
    <t>If you struggle to print the overhangs, try reducing RipD from 0.5 to 0.25 and/or reducing Bulge 1 from 22.5 to 17.5. Maybe also reduce Bulge2 from 15 to 10</t>
  </si>
  <si>
    <t>This is set to print slowly (1000 mm/min) because this seemed to help with overhangs (compared to printing at 2000 mm/min). This set of parameters was successful printed on an Ultimaker 2+ with a 0.6 mm nozzle in PLA</t>
  </si>
  <si>
    <t>GCode generation is slow for this design! It takes about 7 minutes to generate</t>
  </si>
  <si>
    <t>GCode generation is slow for this design! It takes about 7 minutes to generate. This will be improved in the future</t>
  </si>
  <si>
    <t>You could also try reducing the layer height, but I've never tried this so I'm not sure if the mathematical formulas have any accidental link to layer height. So check the GCode well if you change layer height.</t>
  </si>
  <si>
    <t>The is the outer radius of the waves lines of the inner frame. This value is set so the lines connect will with the outer shade section, but don't cross it too much. There are some reasonably complex maths equations affecting radius, so if you increase the overall size and increase this value, you might run into some issues. I haven't tested the design for different overall sizes.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</si>
</sst>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
      <strike/>
      <sz val="11"/>
      <color theme="1"/>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63">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23" fillId="12" borderId="1" xfId="0" applyFont="1" applyFill="1" applyBorder="1"/>
    <xf numFmtId="0" fontId="0" fillId="12" borderId="1" xfId="0" applyFill="1" applyBorder="1"/>
    <xf numFmtId="49" fontId="0" fillId="12" borderId="1" xfId="0" applyNumberFormat="1" applyFill="1" applyBorder="1"/>
    <xf numFmtId="0" fontId="13" fillId="12" borderId="1" xfId="0" applyFont="1" applyFill="1" applyBorder="1"/>
    <xf numFmtId="0" fontId="23" fillId="2" borderId="1" xfId="0" applyFont="1" applyFill="1" applyBorder="1"/>
    <xf numFmtId="0" fontId="23" fillId="3" borderId="1" xfId="0" applyFont="1" applyFill="1" applyBorder="1"/>
    <xf numFmtId="0" fontId="23" fillId="7" borderId="1" xfId="0" applyFont="1" applyFill="1" applyBorder="1"/>
    <xf numFmtId="49" fontId="0" fillId="2" borderId="1" xfId="0" quotePrefix="1" applyNumberFormat="1" applyFill="1" applyBorder="1"/>
    <xf numFmtId="0" fontId="23" fillId="19" borderId="1" xfId="0" applyFont="1" applyFill="1" applyBorder="1"/>
    <xf numFmtId="0" fontId="0" fillId="4" borderId="1" xfId="0" applyFill="1" applyBorder="1"/>
    <xf numFmtId="0" fontId="5" fillId="15" borderId="1" xfId="0" applyFont="1" applyFill="1" applyBorder="1" applyAlignment="1">
      <alignment horizontal="center"/>
    </xf>
    <xf numFmtId="0" fontId="5" fillId="10" borderId="1" xfId="0" applyFont="1" applyFill="1" applyBorder="1" applyAlignment="1">
      <alignment horizontal="center"/>
    </xf>
    <xf numFmtId="0" fontId="5" fillId="8" borderId="1" xfId="0" applyFont="1" applyFill="1" applyBorder="1" applyAlignment="1">
      <alignment horizontal="center"/>
    </xf>
    <xf numFmtId="0" fontId="5" fillId="3" borderId="1" xfId="0" applyFont="1" applyFill="1" applyBorder="1" applyAlignment="1">
      <alignment horizontal="center"/>
    </xf>
    <xf numFmtId="0" fontId="24" fillId="0" borderId="0" xfId="0" applyFont="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4989520" cy="2010243"/>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63"/>
  <sheetViews>
    <sheetView showGridLines="0" tabSelected="1" zoomScale="70" zoomScaleNormal="70" workbookViewId="0">
      <pane ySplit="1" topLeftCell="A2" activePane="bottomLeft" state="frozen"/>
      <selection activeCell="G268" sqref="G268"/>
      <selection pane="bottomLeft" activeCell="A8" sqref="A8"/>
    </sheetView>
  </sheetViews>
  <sheetFormatPr defaultColWidth="8.86328125" defaultRowHeight="14.25" x14ac:dyDescent="0.45"/>
  <cols>
    <col min="1" max="1" width="9.1328125" style="80" customWidth="1"/>
    <col min="2" max="2" width="19.1328125" style="80" customWidth="1"/>
    <col min="3" max="6" width="12.1328125" style="80" customWidth="1"/>
    <col min="7" max="7" width="21.1328125" style="80" customWidth="1"/>
    <col min="8" max="16" width="12.1328125" style="80" customWidth="1"/>
    <col min="17" max="17" width="67.86328125" style="80" customWidth="1"/>
    <col min="18" max="18" width="3.3984375" style="80" customWidth="1"/>
    <col min="19" max="19" width="32.1328125" style="80" bestFit="1" customWidth="1"/>
    <col min="20" max="20" width="19.73046875" style="80" customWidth="1"/>
    <col min="21" max="21" width="20" style="80" bestFit="1" customWidth="1"/>
    <col min="22" max="16384" width="8.86328125" style="80"/>
  </cols>
  <sheetData>
    <row r="1" spans="1:40" s="85" customFormat="1" ht="122.25" customHeight="1" x14ac:dyDescent="0.5">
      <c r="B1" s="157"/>
      <c r="C1" s="158"/>
      <c r="D1" s="158"/>
      <c r="E1" s="158"/>
      <c r="F1" s="158"/>
      <c r="G1" s="86"/>
      <c r="L1" s="87"/>
      <c r="S1" s="88"/>
    </row>
    <row r="2" spans="1:40" s="85" customFormat="1" x14ac:dyDescent="0.45">
      <c r="C2" s="87"/>
      <c r="E2" s="87"/>
    </row>
    <row r="3" spans="1:40" x14ac:dyDescent="0.45">
      <c r="F3" s="82"/>
      <c r="H3" s="83"/>
      <c r="I3" s="80" t="s">
        <v>627</v>
      </c>
      <c r="M3" s="83"/>
      <c r="O3" s="83"/>
    </row>
    <row r="4" spans="1:40" x14ac:dyDescent="0.45">
      <c r="M4" s="84"/>
    </row>
    <row r="5" spans="1:40" x14ac:dyDescent="0.45">
      <c r="T5" s="94" t="s">
        <v>164</v>
      </c>
      <c r="U5" s="93">
        <f>COUNTA(RecycleBin!#REF!)</f>
        <v>1</v>
      </c>
      <c r="V5" s="85"/>
    </row>
    <row r="6" spans="1:40" s="81" customFormat="1" x14ac:dyDescent="0.45">
      <c r="A6" s="58" t="s">
        <v>162</v>
      </c>
      <c r="B6" s="2" t="s">
        <v>1094</v>
      </c>
      <c r="C6" s="58" t="s">
        <v>161</v>
      </c>
      <c r="D6" s="2" t="s">
        <v>956</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45">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45">
      <c r="A8" s="2">
        <v>1</v>
      </c>
      <c r="B8" s="142" t="s">
        <v>1</v>
      </c>
      <c r="C8" s="143" t="s">
        <v>18</v>
      </c>
      <c r="D8" s="143">
        <v>20</v>
      </c>
      <c r="E8" s="143">
        <v>10</v>
      </c>
      <c r="F8" s="143">
        <v>0</v>
      </c>
      <c r="G8" s="143">
        <v>30</v>
      </c>
      <c r="H8" s="143">
        <v>10</v>
      </c>
      <c r="I8" s="143">
        <v>0</v>
      </c>
      <c r="J8" s="143" t="s">
        <v>19</v>
      </c>
      <c r="K8" s="143">
        <f>FW</f>
        <v>0.5</v>
      </c>
      <c r="L8" s="143">
        <f>LH</f>
        <v>0.2</v>
      </c>
      <c r="M8" s="143"/>
      <c r="N8" s="143"/>
      <c r="O8" s="143"/>
      <c r="P8" s="143"/>
      <c r="Q8" s="143" t="s">
        <v>872</v>
      </c>
      <c r="R8"/>
      <c r="S8" s="95" t="s">
        <v>40</v>
      </c>
      <c r="T8" s="3"/>
      <c r="U8" s="5"/>
      <c r="V8"/>
      <c r="W8"/>
      <c r="X8"/>
      <c r="Y8"/>
      <c r="Z8"/>
      <c r="AA8"/>
      <c r="AB8"/>
      <c r="AC8"/>
      <c r="AD8"/>
      <c r="AE8"/>
      <c r="AF8"/>
      <c r="AG8"/>
      <c r="AH8"/>
      <c r="AI8"/>
      <c r="AJ8"/>
      <c r="AK8"/>
      <c r="AL8"/>
      <c r="AM8"/>
      <c r="AN8"/>
    </row>
    <row r="9" spans="1:40" s="81" customFormat="1" x14ac:dyDescent="0.45">
      <c r="A9" s="2">
        <v>2</v>
      </c>
      <c r="B9" s="142" t="s">
        <v>1</v>
      </c>
      <c r="C9" s="143" t="s">
        <v>18</v>
      </c>
      <c r="D9" s="143" t="s">
        <v>117</v>
      </c>
      <c r="E9" s="143" t="s">
        <v>117</v>
      </c>
      <c r="F9" s="143" t="s">
        <v>117</v>
      </c>
      <c r="G9" s="143">
        <v>175</v>
      </c>
      <c r="H9" s="143" t="s">
        <v>117</v>
      </c>
      <c r="I9" s="144" t="s">
        <v>117</v>
      </c>
      <c r="J9" s="144" t="s">
        <v>19</v>
      </c>
      <c r="K9" s="143">
        <f>FW</f>
        <v>0.5</v>
      </c>
      <c r="L9" s="143">
        <f>LH</f>
        <v>0.2</v>
      </c>
      <c r="M9" s="143"/>
      <c r="N9" s="143"/>
      <c r="O9" s="143"/>
      <c r="P9" s="143"/>
      <c r="Q9" s="143" t="s">
        <v>872</v>
      </c>
      <c r="R9"/>
      <c r="S9" s="5" t="s">
        <v>115</v>
      </c>
      <c r="T9" s="126">
        <f>LH*0.75</f>
        <v>0.15000000000000002</v>
      </c>
      <c r="U9" s="5" t="s">
        <v>44</v>
      </c>
      <c r="V9" s="126">
        <v>0.15</v>
      </c>
      <c r="W9"/>
      <c r="X9"/>
      <c r="Y9"/>
      <c r="Z9"/>
      <c r="AA9"/>
      <c r="AB9"/>
      <c r="AC9"/>
      <c r="AD9"/>
      <c r="AE9"/>
      <c r="AF9"/>
      <c r="AG9"/>
      <c r="AH9"/>
      <c r="AI9"/>
      <c r="AJ9"/>
      <c r="AK9"/>
      <c r="AL9"/>
      <c r="AM9"/>
      <c r="AN9"/>
    </row>
    <row r="10" spans="1:40" s="81" customFormat="1" x14ac:dyDescent="0.45">
      <c r="A10" s="2">
        <v>3</v>
      </c>
      <c r="B10" s="142" t="s">
        <v>1</v>
      </c>
      <c r="C10" s="143" t="s">
        <v>18</v>
      </c>
      <c r="D10" s="143" t="s">
        <v>117</v>
      </c>
      <c r="E10" s="143" t="s">
        <v>117</v>
      </c>
      <c r="F10" s="143" t="s">
        <v>117</v>
      </c>
      <c r="G10" s="143" t="s">
        <v>117</v>
      </c>
      <c r="H10" s="143">
        <v>100</v>
      </c>
      <c r="I10" s="144" t="s">
        <v>117</v>
      </c>
      <c r="J10" s="144" t="s">
        <v>19</v>
      </c>
      <c r="K10" s="143">
        <f>FW</f>
        <v>0.5</v>
      </c>
      <c r="L10" s="143">
        <f>LH</f>
        <v>0.2</v>
      </c>
      <c r="M10" s="143"/>
      <c r="N10" s="143"/>
      <c r="O10" s="143"/>
      <c r="P10" s="143"/>
      <c r="Q10" s="17" t="s">
        <v>872</v>
      </c>
      <c r="R10"/>
      <c r="S10" s="5" t="s">
        <v>88</v>
      </c>
      <c r="T10" s="5">
        <v>1</v>
      </c>
      <c r="U10" s="5" t="s">
        <v>90</v>
      </c>
      <c r="V10"/>
      <c r="W10"/>
      <c r="X10"/>
      <c r="Y10"/>
      <c r="Z10"/>
      <c r="AA10"/>
      <c r="AB10"/>
      <c r="AC10"/>
      <c r="AD10"/>
      <c r="AE10"/>
      <c r="AF10"/>
      <c r="AG10"/>
      <c r="AH10"/>
      <c r="AI10"/>
      <c r="AJ10"/>
      <c r="AK10"/>
      <c r="AL10"/>
      <c r="AM10"/>
      <c r="AN10"/>
    </row>
    <row r="11" spans="1:40" s="81" customFormat="1" x14ac:dyDescent="0.45">
      <c r="A11" s="2">
        <v>4</v>
      </c>
      <c r="B11" s="146" t="s">
        <v>206</v>
      </c>
      <c r="C11" s="2">
        <v>100</v>
      </c>
      <c r="D11" s="2">
        <v>100</v>
      </c>
      <c r="E11" s="2" t="e" cm="1">
        <f t="array" ref="E11">(pi_2*Tval)-((Swerve*pi_2*SIN(Tval*nTip*pi_2+(pi_2/2))))*(((1/(1+EXP(X_1-(Zval/Height)*X_2)))*(1/(1+EXP(X_1-(1-(Zval/Height))*X_2))))-(0.5*(SIN((Zval/Height)*0.5*pi_2))^20))</f>
        <v>#NAME?</v>
      </c>
      <c r="F11" s="2" t="e" cm="1">
        <f t="array" ref="F11">R_0+(TipLen*(0.5+0.5*(COS(Tval*nTip*pi_2)))^2.5)+((0.5-(0.5*COS(Tval*(Segs1/2)*2*PI())))*(ZagMin+(ZagMax*(0.5+0.5*(COS(Tval*nTip*pi_2)))^2)))+(((Bulge2*(0.5+0.5*(COS((Zval/Height+0.15)*2.3*pi_2)))^1.5)))</f>
        <v>#NAME?</v>
      </c>
      <c r="G11" s="2" t="e" cm="1">
        <f t="array" ref="G11">(LH*Tval)</f>
        <v>#NAME?</v>
      </c>
      <c r="H11" s="2">
        <v>0</v>
      </c>
      <c r="I11" s="2">
        <v>1</v>
      </c>
      <c r="J11" s="2" cm="1">
        <f t="array" ref="J11">Segs1</f>
        <v>300</v>
      </c>
      <c r="K11" s="2" t="e" cm="1">
        <f t="array" ref="K11">IF(Zmid&lt;LH,FW+FW*Tmid*FirstLayerEFactor,FW)</f>
        <v>#NAME?</v>
      </c>
      <c r="L11" s="2">
        <f>LH</f>
        <v>0.2</v>
      </c>
      <c r="M11" s="2"/>
      <c r="N11" s="2" t="s">
        <v>875</v>
      </c>
      <c r="O11" s="2"/>
      <c r="P11" s="2"/>
      <c r="Q11" s="2" t="s">
        <v>1049</v>
      </c>
      <c r="R11"/>
      <c r="S11" s="5" t="s">
        <v>89</v>
      </c>
      <c r="T11" s="126">
        <v>0.5</v>
      </c>
      <c r="U11" s="5" t="s">
        <v>90</v>
      </c>
      <c r="V11"/>
      <c r="W11"/>
      <c r="X11"/>
      <c r="Y11"/>
      <c r="Z11"/>
      <c r="AA11"/>
      <c r="AB11"/>
      <c r="AC11"/>
      <c r="AD11"/>
      <c r="AE11"/>
      <c r="AF11"/>
      <c r="AG11"/>
      <c r="AH11"/>
      <c r="AI11"/>
      <c r="AJ11"/>
      <c r="AK11"/>
      <c r="AL11"/>
      <c r="AM11"/>
      <c r="AN11"/>
    </row>
    <row r="12" spans="1:40" s="81" customFormat="1" x14ac:dyDescent="0.45">
      <c r="A12" s="2">
        <v>5</v>
      </c>
      <c r="B12" s="147" t="s">
        <v>205</v>
      </c>
      <c r="C12" s="147" t="e" cm="1">
        <f t="array" ref="C12">100+RadInner+((RadOuter-RadInner)*(1-Tval))</f>
        <v>#NAME?</v>
      </c>
      <c r="D12" s="147" t="e" cm="1">
        <f t="array" ref="D12">100+(FrameLineSpacingRatio*(FrameWidthFactor*FW))+(Amp_1*Tval)*((0.5-0.5*COS((Tval^0.66)*3*pi_2))^1)</f>
        <v>#NAME?</v>
      </c>
      <c r="E12" s="147">
        <v>0</v>
      </c>
      <c r="F12" s="147">
        <v>0</v>
      </c>
      <c r="G12" s="147">
        <v>1</v>
      </c>
      <c r="H12" s="147">
        <f>Segs2</f>
        <v>64</v>
      </c>
      <c r="I12" s="147">
        <f>FW*FrameWidthFactor</f>
        <v>1.25</v>
      </c>
      <c r="J12" s="147">
        <f>LH</f>
        <v>0.2</v>
      </c>
      <c r="K12" s="147"/>
      <c r="L12" s="147">
        <f>NozzleFeedratePrinting/FrameWidthFactor</f>
        <v>400</v>
      </c>
      <c r="M12" s="147"/>
      <c r="N12" s="147"/>
      <c r="O12" s="147"/>
      <c r="P12" s="147"/>
      <c r="Q12" s="147" t="s">
        <v>1050</v>
      </c>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45">
      <c r="A13" s="2">
        <v>6</v>
      </c>
      <c r="B13" s="147" t="s">
        <v>10</v>
      </c>
      <c r="C13" s="147">
        <v>100</v>
      </c>
      <c r="D13" s="147">
        <v>100</v>
      </c>
      <c r="E13" s="147">
        <v>0</v>
      </c>
      <c r="F13" s="147" cm="1">
        <f t="array" ref="F13">RadInner</f>
        <v>15</v>
      </c>
      <c r="G13" s="147">
        <v>0</v>
      </c>
      <c r="H13" s="147">
        <f>180/nTip</f>
        <v>30</v>
      </c>
      <c r="I13" s="147" t="s">
        <v>38</v>
      </c>
      <c r="J13" s="147">
        <f>FLOOR(H13,1)</f>
        <v>30</v>
      </c>
      <c r="K13" s="147">
        <f>FW*FrameWidthFactor</f>
        <v>1.25</v>
      </c>
      <c r="L13" s="147">
        <f>LH</f>
        <v>0.2</v>
      </c>
      <c r="M13" s="147" t="str">
        <f>"F="&amp;NozzleFeedratePrinting/FrameWidthFactor</f>
        <v>F=400</v>
      </c>
      <c r="N13" s="147"/>
      <c r="O13" s="147"/>
      <c r="P13" s="147"/>
      <c r="Q13" s="147" t="s">
        <v>1051</v>
      </c>
      <c r="R13"/>
      <c r="S13" s="5" t="s">
        <v>227</v>
      </c>
      <c r="T13" s="5">
        <v>0</v>
      </c>
      <c r="U13" s="5"/>
      <c r="V13"/>
      <c r="W13"/>
      <c r="X13"/>
      <c r="Y13"/>
      <c r="Z13"/>
      <c r="AA13"/>
      <c r="AB13"/>
      <c r="AC13"/>
      <c r="AD13"/>
      <c r="AE13"/>
      <c r="AF13"/>
      <c r="AG13"/>
      <c r="AH13"/>
      <c r="AI13"/>
      <c r="AJ13"/>
      <c r="AK13"/>
      <c r="AL13"/>
      <c r="AM13"/>
      <c r="AN13"/>
    </row>
    <row r="14" spans="1:40" s="81" customFormat="1" x14ac:dyDescent="0.45">
      <c r="A14" s="2">
        <v>7</v>
      </c>
      <c r="B14" s="147" t="s">
        <v>17</v>
      </c>
      <c r="C14" s="147" t="s">
        <v>947</v>
      </c>
      <c r="D14" s="147" t="s">
        <v>2</v>
      </c>
      <c r="E14" s="147">
        <v>100</v>
      </c>
      <c r="F14" s="147">
        <v>100</v>
      </c>
      <c r="G14" s="147">
        <f>180/nTip</f>
        <v>30</v>
      </c>
      <c r="H14" s="147"/>
      <c r="I14" s="147"/>
      <c r="J14" s="147"/>
      <c r="K14" s="147"/>
      <c r="L14" s="147"/>
      <c r="M14" s="147"/>
      <c r="N14" s="147"/>
      <c r="O14" s="147"/>
      <c r="P14" s="147"/>
      <c r="Q14" s="147" t="s">
        <v>1046</v>
      </c>
      <c r="R14"/>
      <c r="S14" s="57"/>
      <c r="T14" s="57"/>
      <c r="U14" s="90"/>
      <c r="V14"/>
      <c r="W14"/>
      <c r="X14"/>
      <c r="Y14"/>
      <c r="Z14"/>
      <c r="AA14"/>
      <c r="AB14"/>
      <c r="AC14"/>
      <c r="AD14"/>
      <c r="AE14"/>
      <c r="AF14"/>
      <c r="AG14"/>
      <c r="AH14"/>
      <c r="AI14"/>
      <c r="AJ14"/>
      <c r="AK14"/>
      <c r="AL14"/>
      <c r="AM14"/>
      <c r="AN14"/>
    </row>
    <row r="15" spans="1:40" s="81" customFormat="1" x14ac:dyDescent="0.45">
      <c r="A15" s="2">
        <v>8</v>
      </c>
      <c r="B15" s="147" t="s">
        <v>54</v>
      </c>
      <c r="C15" s="147" t="s">
        <v>948</v>
      </c>
      <c r="D15" s="147">
        <v>100</v>
      </c>
      <c r="E15" s="147">
        <v>100</v>
      </c>
      <c r="F15" s="147">
        <f>360/nTip</f>
        <v>60</v>
      </c>
      <c r="G15" s="147">
        <v>0</v>
      </c>
      <c r="H15" s="147">
        <f>nTip-1</f>
        <v>5</v>
      </c>
      <c r="I15" s="147"/>
      <c r="J15" s="147"/>
      <c r="K15" s="147"/>
      <c r="L15" s="147"/>
      <c r="M15" s="147"/>
      <c r="N15" s="147"/>
      <c r="O15" s="147"/>
      <c r="P15" s="147"/>
      <c r="Q15" s="147" t="s">
        <v>1052</v>
      </c>
      <c r="R15"/>
      <c r="S15" s="5" t="s">
        <v>371</v>
      </c>
      <c r="T15" s="5">
        <v>60</v>
      </c>
      <c r="U15" s="5" t="s">
        <v>43</v>
      </c>
      <c r="V15"/>
      <c r="W15"/>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45">
      <c r="A16" s="2">
        <v>9</v>
      </c>
      <c r="B16" s="142" t="s">
        <v>279</v>
      </c>
      <c r="C16" s="142">
        <v>4</v>
      </c>
      <c r="D16" s="142" t="s">
        <v>203</v>
      </c>
      <c r="E16" s="142">
        <v>100</v>
      </c>
      <c r="F16" s="142">
        <v>100</v>
      </c>
      <c r="G16" s="142">
        <v>0</v>
      </c>
      <c r="H16" s="142" t="e" cm="1">
        <f t="array" ref="H16">(Bulge1*(SIN(Zval/Height*0.5*pi_2))^1)+(RipD*(SIN(Zval/Height*RipFreq*pi_2))^2)</f>
        <v>#NAME?</v>
      </c>
      <c r="I16" s="142">
        <v>0</v>
      </c>
      <c r="J16" s="142" t="s">
        <v>136</v>
      </c>
      <c r="K16" s="142" t="s">
        <v>136</v>
      </c>
      <c r="L16" s="142"/>
      <c r="M16" s="142"/>
      <c r="N16" s="142"/>
      <c r="O16" s="142"/>
      <c r="P16" s="142"/>
      <c r="Q16" s="142" t="s">
        <v>1053</v>
      </c>
      <c r="R16"/>
      <c r="S16" s="5" t="s">
        <v>86</v>
      </c>
      <c r="T16" s="5">
        <v>1000</v>
      </c>
      <c r="U16" s="5" t="s">
        <v>45</v>
      </c>
      <c r="V16"/>
      <c r="W16"/>
      <c r="X16"/>
      <c r="Y16"/>
      <c r="Z16"/>
      <c r="AA16"/>
      <c r="AB16"/>
      <c r="AC16"/>
      <c r="AD16"/>
      <c r="AE16"/>
      <c r="AF16"/>
      <c r="AG16"/>
      <c r="AH16"/>
      <c r="AI16"/>
      <c r="AJ16"/>
      <c r="AK16"/>
      <c r="AL16"/>
      <c r="AM16"/>
      <c r="AN16"/>
    </row>
    <row r="17" spans="1:40" s="81" customFormat="1" x14ac:dyDescent="0.45">
      <c r="A17" s="2">
        <v>10</v>
      </c>
      <c r="B17" s="148" t="s">
        <v>279</v>
      </c>
      <c r="C17" s="148" t="s">
        <v>949</v>
      </c>
      <c r="D17" s="148" t="s">
        <v>203</v>
      </c>
      <c r="E17" s="148">
        <v>100</v>
      </c>
      <c r="F17" s="148">
        <v>100</v>
      </c>
      <c r="G17" s="148">
        <v>0</v>
      </c>
      <c r="H17" s="148" t="e" cm="1">
        <f t="array" ref="H17">IF(Rval&gt;=RadOuter,((((Bulge2*(0.5+0.5*(COS((Zval/Height+0.15)*2.3*pi_2)))^1.5)))-1)+((Bulge1*(SIN(Zval/Height*0.5*pi_2))^1)+(RipD*(SIN(Zval/Height*RipFreq*pi_2))^2)),0)</f>
        <v>#NAME?</v>
      </c>
      <c r="I17" s="148">
        <v>0</v>
      </c>
      <c r="J17" s="148" t="s">
        <v>136</v>
      </c>
      <c r="K17" s="148" t="s">
        <v>136</v>
      </c>
      <c r="L17" s="148"/>
      <c r="M17" s="148"/>
      <c r="N17" s="148"/>
      <c r="O17" s="148"/>
      <c r="P17" s="148"/>
      <c r="Q17" s="148" t="s">
        <v>1047</v>
      </c>
      <c r="R17"/>
      <c r="S17" s="5" t="s">
        <v>87</v>
      </c>
      <c r="T17" s="5">
        <v>7200</v>
      </c>
      <c r="U17" s="5" t="s">
        <v>45</v>
      </c>
      <c r="V17"/>
      <c r="W17"/>
      <c r="X17"/>
      <c r="Y17"/>
      <c r="Z17"/>
      <c r="AA17"/>
      <c r="AB17"/>
      <c r="AC17"/>
      <c r="AD17"/>
      <c r="AE17"/>
      <c r="AF17"/>
      <c r="AG17"/>
      <c r="AH17"/>
      <c r="AI17"/>
      <c r="AJ17"/>
      <c r="AK17"/>
      <c r="AL17"/>
      <c r="AM17"/>
      <c r="AN17"/>
    </row>
    <row r="18" spans="1:40" s="81" customFormat="1" x14ac:dyDescent="0.45">
      <c r="A18" s="2">
        <v>11</v>
      </c>
      <c r="B18" s="150" t="s">
        <v>298</v>
      </c>
      <c r="C18" s="150" t="s">
        <v>950</v>
      </c>
      <c r="D18" s="150">
        <f>InnerFrameLayers-1</f>
        <v>19</v>
      </c>
      <c r="E18" s="150">
        <v>0</v>
      </c>
      <c r="F18" s="150">
        <v>0</v>
      </c>
      <c r="G18" s="150">
        <f>LH</f>
        <v>0.2</v>
      </c>
      <c r="H18" s="150"/>
      <c r="I18" s="150"/>
      <c r="J18" s="150"/>
      <c r="K18" s="150"/>
      <c r="L18" s="150"/>
      <c r="M18" s="150"/>
      <c r="N18" s="150"/>
      <c r="O18" s="150"/>
      <c r="P18" s="150"/>
      <c r="Q18" s="150" t="s">
        <v>1048</v>
      </c>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45">
      <c r="A19" s="2">
        <v>12</v>
      </c>
      <c r="B19" s="146" t="s">
        <v>206</v>
      </c>
      <c r="C19" s="2">
        <v>100</v>
      </c>
      <c r="D19" s="2">
        <v>100</v>
      </c>
      <c r="E19" s="2" t="e" cm="1">
        <f t="array" ref="E19">(pi_2*Tval)-((Swerve*pi_2*SIN(Tval*nTip*pi_2+(pi_2/2))))*(((1/(1+EXP(X_1-(Zval/Height)*X_2)))*(1/(1+EXP(X_1-(1-(Zval/Height))*X_2))))-(0.5*(SIN((Zval/Height)*0.5*pi_2))^20))</f>
        <v>#NAME?</v>
      </c>
      <c r="F19" s="2" t="e" cm="1">
        <f t="array" ref="F19">R_0+(TipLen*(0.5+0.5*(COS(Tval*nTip*pi_2)))^2.5)+((0.5-(0.5*COS(Tval*(Segs1/2)*2*PI())))*(ZagMin+(ZagMax*(0.5+0.5*(COS(Tval*nTip*pi_2)))^2)))+(((Bulge2*(0.5+0.5*(COS((Zval/Height+0.15)*2.3*pi_2)))^1.5)))</f>
        <v>#NAME?</v>
      </c>
      <c r="G19" s="2" t="e" cm="1">
        <f t="array" ref="G19">(LH*Tval)</f>
        <v>#NAME?</v>
      </c>
      <c r="H19" s="2">
        <f>InnerFrameLayers</f>
        <v>20</v>
      </c>
      <c r="I19" s="2">
        <f>(Height/LH)</f>
        <v>750</v>
      </c>
      <c r="J19" s="2" cm="1">
        <f t="array" ref="J19">Segs1*(I19-H19)</f>
        <v>219000</v>
      </c>
      <c r="K19" s="2" t="s">
        <v>874</v>
      </c>
      <c r="L19" s="2">
        <f>LH</f>
        <v>0.2</v>
      </c>
      <c r="M19" s="2"/>
      <c r="N19" s="2" t="s">
        <v>875</v>
      </c>
      <c r="O19" s="2"/>
      <c r="P19" s="2"/>
      <c r="Q19" s="2" t="s">
        <v>1054</v>
      </c>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45">
      <c r="A20" s="2">
        <v>13</v>
      </c>
      <c r="B20" s="142" t="s">
        <v>279</v>
      </c>
      <c r="C20" s="142">
        <v>12</v>
      </c>
      <c r="D20" s="142" t="s">
        <v>203</v>
      </c>
      <c r="E20" s="142">
        <v>100</v>
      </c>
      <c r="F20" s="142">
        <v>100</v>
      </c>
      <c r="G20" s="142">
        <v>0</v>
      </c>
      <c r="H20" s="142" t="e" cm="1">
        <f t="array" ref="H20">(Bulge1*(SIN(Zval/Height*0.5*pi_2))^1)+(RipD*(SIN(Zval/Height*RipFreq*pi_2))^2)</f>
        <v>#NAME?</v>
      </c>
      <c r="I20" s="142">
        <v>0</v>
      </c>
      <c r="J20" s="142" t="s">
        <v>136</v>
      </c>
      <c r="K20" s="142" t="s">
        <v>136</v>
      </c>
      <c r="L20" s="142"/>
      <c r="M20" s="142"/>
      <c r="N20" s="142"/>
      <c r="O20" s="142"/>
      <c r="P20" s="142"/>
      <c r="Q20" s="142" t="s">
        <v>1053</v>
      </c>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45">
      <c r="A21" s="2">
        <v>14</v>
      </c>
      <c r="B21" s="146" t="s">
        <v>1</v>
      </c>
      <c r="C21" s="2" t="s">
        <v>18</v>
      </c>
      <c r="D21" s="2" t="s">
        <v>117</v>
      </c>
      <c r="E21" s="2" t="s">
        <v>117</v>
      </c>
      <c r="F21" s="2" t="s">
        <v>117</v>
      </c>
      <c r="G21" s="2" t="s">
        <v>117</v>
      </c>
      <c r="H21" s="2" t="s">
        <v>117</v>
      </c>
      <c r="I21" s="2" t="s">
        <v>880</v>
      </c>
      <c r="J21" s="2" t="s">
        <v>23</v>
      </c>
      <c r="K21" s="2"/>
      <c r="L21" s="2"/>
      <c r="M21" s="2"/>
      <c r="N21" s="2"/>
      <c r="O21" s="2"/>
      <c r="P21" s="2"/>
      <c r="Q21" s="2" t="s">
        <v>1055</v>
      </c>
      <c r="R21"/>
      <c r="S21" s="5" t="s">
        <v>125</v>
      </c>
      <c r="T21" s="122" t="s">
        <v>186</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45">
      <c r="R22"/>
      <c r="S22" s="5" t="s">
        <v>185</v>
      </c>
      <c r="T22" s="122" t="s">
        <v>156</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45">
      <c r="A23" s="29"/>
      <c r="B23" s="81" t="s">
        <v>1106</v>
      </c>
      <c r="R23"/>
      <c r="S23" s="5" t="s">
        <v>200</v>
      </c>
      <c r="T23" s="5">
        <v>20</v>
      </c>
      <c r="U23" s="5" t="s">
        <v>44</v>
      </c>
      <c r="V23"/>
      <c r="W23"/>
      <c r="X23"/>
      <c r="Y23"/>
      <c r="Z23"/>
      <c r="AA23"/>
      <c r="AB23"/>
      <c r="AC23"/>
      <c r="AD23"/>
      <c r="AE23"/>
      <c r="AF23"/>
      <c r="AG23"/>
      <c r="AH23"/>
      <c r="AI23"/>
      <c r="AJ23"/>
      <c r="AK23"/>
      <c r="AL23"/>
      <c r="AM23"/>
      <c r="AN23"/>
    </row>
    <row r="24" spans="1:40" s="81" customFormat="1" x14ac:dyDescent="0.45">
      <c r="A24" s="29"/>
      <c r="B24" s="81" t="s">
        <v>1100</v>
      </c>
      <c r="R24"/>
      <c r="S24" s="5" t="s">
        <v>201</v>
      </c>
      <c r="T24" s="5">
        <v>10</v>
      </c>
      <c r="U24" s="5" t="s">
        <v>44</v>
      </c>
      <c r="V24"/>
      <c r="W24"/>
      <c r="X24"/>
      <c r="Y24"/>
      <c r="Z24"/>
      <c r="AA24"/>
      <c r="AB24"/>
      <c r="AC24"/>
      <c r="AD24"/>
      <c r="AE24"/>
      <c r="AF24"/>
      <c r="AG24"/>
      <c r="AH24"/>
      <c r="AI24"/>
      <c r="AJ24"/>
      <c r="AK24"/>
      <c r="AL24"/>
      <c r="AM24"/>
      <c r="AN24"/>
    </row>
    <row r="25" spans="1:40" s="81" customFormat="1" x14ac:dyDescent="0.45">
      <c r="A25" s="29"/>
      <c r="B25" s="81" t="s">
        <v>1101</v>
      </c>
      <c r="R25"/>
      <c r="S25" s="5" t="s">
        <v>202</v>
      </c>
      <c r="T25" s="5">
        <v>0.3</v>
      </c>
      <c r="U25" s="5" t="s">
        <v>44</v>
      </c>
      <c r="V25"/>
      <c r="W25"/>
      <c r="X25"/>
      <c r="Y25"/>
      <c r="Z25"/>
      <c r="AA25"/>
      <c r="AB25"/>
      <c r="AC25"/>
      <c r="AD25"/>
      <c r="AE25"/>
      <c r="AF25"/>
      <c r="AG25"/>
      <c r="AH25"/>
      <c r="AI25"/>
      <c r="AJ25"/>
      <c r="AK25"/>
      <c r="AL25"/>
      <c r="AM25"/>
      <c r="AN25"/>
    </row>
    <row r="26" spans="1:40" s="81" customFormat="1" x14ac:dyDescent="0.45">
      <c r="A26" s="29"/>
      <c r="R26"/>
      <c r="S26" s="78" t="s">
        <v>372</v>
      </c>
      <c r="T26" s="5">
        <v>255</v>
      </c>
      <c r="U26" s="5"/>
      <c r="V26" s="1"/>
      <c r="W26"/>
      <c r="X26"/>
      <c r="Y26"/>
      <c r="Z26"/>
      <c r="AA26"/>
      <c r="AB26"/>
      <c r="AC26"/>
      <c r="AD26"/>
      <c r="AE26"/>
      <c r="AF26"/>
      <c r="AG26"/>
      <c r="AH26"/>
      <c r="AI26"/>
      <c r="AJ26"/>
      <c r="AK26"/>
      <c r="AL26"/>
      <c r="AM26"/>
      <c r="AN26"/>
    </row>
    <row r="27" spans="1:40" s="81" customFormat="1" x14ac:dyDescent="0.45">
      <c r="A27" s="29"/>
      <c r="B27" s="81" t="s">
        <v>1104</v>
      </c>
      <c r="R27"/>
      <c r="S27" s="5" t="s">
        <v>187</v>
      </c>
      <c r="T27" s="5" t="s">
        <v>199</v>
      </c>
      <c r="U27" s="5" t="s">
        <v>191</v>
      </c>
      <c r="V27"/>
      <c r="W27"/>
      <c r="X27"/>
      <c r="Y27"/>
      <c r="Z27"/>
      <c r="AA27"/>
      <c r="AB27"/>
      <c r="AC27"/>
      <c r="AD27"/>
      <c r="AE27"/>
      <c r="AF27"/>
      <c r="AG27"/>
      <c r="AH27"/>
      <c r="AI27"/>
      <c r="AJ27"/>
      <c r="AK27"/>
      <c r="AL27"/>
      <c r="AM27"/>
      <c r="AN27"/>
    </row>
    <row r="28" spans="1:40" s="81" customFormat="1" x14ac:dyDescent="0.45">
      <c r="A28" s="29"/>
      <c r="B28" s="81" t="s">
        <v>1103</v>
      </c>
      <c r="R28"/>
      <c r="S28" s="5" t="s">
        <v>192</v>
      </c>
      <c r="T28" s="5">
        <v>5</v>
      </c>
      <c r="U28" s="5" t="s">
        <v>44</v>
      </c>
      <c r="V28" s="1"/>
      <c r="W28"/>
      <c r="X28"/>
      <c r="Y28"/>
      <c r="Z28"/>
      <c r="AA28"/>
      <c r="AB28"/>
      <c r="AC28"/>
      <c r="AD28"/>
      <c r="AE28"/>
      <c r="AF28"/>
      <c r="AG28"/>
      <c r="AH28"/>
      <c r="AI28"/>
      <c r="AJ28"/>
      <c r="AK28"/>
      <c r="AL28"/>
      <c r="AM28"/>
      <c r="AN28"/>
    </row>
    <row r="29" spans="1:40" s="81" customFormat="1" x14ac:dyDescent="0.45">
      <c r="A29" s="29"/>
      <c r="B29" s="81" t="s">
        <v>1107</v>
      </c>
      <c r="R29"/>
      <c r="S29" s="5" t="s">
        <v>193</v>
      </c>
      <c r="T29" s="5">
        <v>1</v>
      </c>
      <c r="U29" s="5" t="s">
        <v>91</v>
      </c>
      <c r="V29"/>
      <c r="W29"/>
      <c r="X29"/>
      <c r="Y29"/>
      <c r="Z29"/>
      <c r="AA29"/>
      <c r="AB29"/>
      <c r="AC29"/>
      <c r="AD29"/>
      <c r="AE29"/>
      <c r="AF29"/>
      <c r="AG29"/>
      <c r="AH29"/>
      <c r="AI29"/>
      <c r="AJ29"/>
      <c r="AK29"/>
      <c r="AL29"/>
      <c r="AM29"/>
      <c r="AN29"/>
    </row>
    <row r="30" spans="1:40" s="81" customFormat="1" x14ac:dyDescent="0.45">
      <c r="A30" s="29"/>
      <c r="R30"/>
      <c r="S30" s="5" t="s">
        <v>194</v>
      </c>
      <c r="T30" s="5">
        <v>3000</v>
      </c>
      <c r="U30" s="5" t="s">
        <v>45</v>
      </c>
      <c r="V30"/>
      <c r="W30"/>
      <c r="X30"/>
      <c r="Y30"/>
      <c r="Z30"/>
      <c r="AA30"/>
      <c r="AB30"/>
      <c r="AC30"/>
      <c r="AD30"/>
      <c r="AE30"/>
      <c r="AF30"/>
      <c r="AG30"/>
      <c r="AH30"/>
      <c r="AI30"/>
      <c r="AJ30"/>
      <c r="AK30"/>
      <c r="AL30"/>
      <c r="AM30"/>
      <c r="AN30"/>
    </row>
    <row r="31" spans="1:40" s="81" customFormat="1" x14ac:dyDescent="0.45">
      <c r="A31" s="29"/>
      <c r="R31"/>
      <c r="S31" s="5" t="s">
        <v>195</v>
      </c>
      <c r="T31" s="5">
        <v>-1</v>
      </c>
      <c r="U31" s="5" t="s">
        <v>91</v>
      </c>
      <c r="V31"/>
      <c r="W31"/>
      <c r="X31"/>
      <c r="Y31"/>
      <c r="Z31"/>
      <c r="AA31"/>
      <c r="AB31"/>
      <c r="AC31"/>
      <c r="AD31"/>
      <c r="AE31"/>
      <c r="AF31"/>
      <c r="AG31"/>
      <c r="AH31"/>
      <c r="AI31"/>
      <c r="AJ31"/>
      <c r="AK31"/>
      <c r="AL31"/>
      <c r="AM31"/>
      <c r="AN31"/>
    </row>
    <row r="32" spans="1:40" s="81" customFormat="1" x14ac:dyDescent="0.45">
      <c r="A32" s="29"/>
      <c r="R32"/>
      <c r="S32" s="3" t="s">
        <v>196</v>
      </c>
      <c r="T32" s="3">
        <v>3000</v>
      </c>
      <c r="U32" s="5" t="s">
        <v>45</v>
      </c>
      <c r="V32"/>
      <c r="W32"/>
      <c r="X32"/>
      <c r="Y32"/>
      <c r="Z32"/>
      <c r="AA32"/>
      <c r="AB32"/>
      <c r="AC32"/>
      <c r="AD32"/>
      <c r="AE32"/>
      <c r="AF32"/>
      <c r="AG32"/>
      <c r="AH32"/>
      <c r="AI32"/>
      <c r="AJ32"/>
      <c r="AK32"/>
      <c r="AL32"/>
      <c r="AM32"/>
      <c r="AN32"/>
    </row>
    <row r="33" spans="1:40" s="81" customFormat="1" x14ac:dyDescent="0.45">
      <c r="A33" s="29"/>
      <c r="R33"/>
      <c r="S33" s="3" t="s">
        <v>197</v>
      </c>
      <c r="T33" s="3">
        <v>0.25</v>
      </c>
      <c r="U33" s="5" t="s">
        <v>44</v>
      </c>
      <c r="V33"/>
      <c r="W33"/>
      <c r="X33"/>
      <c r="Y33"/>
      <c r="Z33"/>
      <c r="AA33"/>
      <c r="AB33"/>
      <c r="AC33"/>
      <c r="AD33"/>
      <c r="AE33"/>
      <c r="AF33"/>
      <c r="AG33"/>
      <c r="AH33"/>
      <c r="AI33"/>
      <c r="AJ33"/>
      <c r="AK33"/>
      <c r="AL33"/>
      <c r="AM33"/>
      <c r="AN33"/>
    </row>
    <row r="34" spans="1:40" s="81" customFormat="1" x14ac:dyDescent="0.45">
      <c r="A34" s="29"/>
      <c r="R34"/>
      <c r="S34" s="3" t="s">
        <v>198</v>
      </c>
      <c r="T34" s="3">
        <v>7500</v>
      </c>
      <c r="U34" s="5" t="s">
        <v>45</v>
      </c>
      <c r="V34"/>
      <c r="W34"/>
      <c r="X34"/>
      <c r="Y34"/>
      <c r="Z34"/>
      <c r="AA34"/>
      <c r="AB34"/>
      <c r="AC34"/>
      <c r="AD34"/>
      <c r="AE34"/>
      <c r="AF34"/>
      <c r="AG34"/>
      <c r="AH34"/>
      <c r="AI34"/>
      <c r="AJ34"/>
      <c r="AK34"/>
      <c r="AL34"/>
      <c r="AM34"/>
      <c r="AN34"/>
    </row>
    <row r="35" spans="1:40" x14ac:dyDescent="0.45">
      <c r="A35" s="29"/>
      <c r="B35" s="81"/>
      <c r="C35" s="81"/>
      <c r="D35" s="81"/>
      <c r="E35" s="81"/>
      <c r="F35" s="81"/>
      <c r="G35" s="81"/>
      <c r="H35" s="81"/>
      <c r="I35" s="81"/>
      <c r="J35" s="81"/>
      <c r="K35" s="81"/>
      <c r="L35" s="81"/>
      <c r="M35" s="81"/>
      <c r="N35" s="81"/>
      <c r="O35" s="81"/>
      <c r="P35" s="81"/>
      <c r="Q35" s="81"/>
      <c r="R35"/>
      <c r="S35"/>
      <c r="T35"/>
      <c r="U35" s="89"/>
      <c r="V35"/>
      <c r="W35" s="29"/>
      <c r="X35" s="29"/>
      <c r="Y35" s="29"/>
      <c r="Z35" s="29"/>
      <c r="AA35" s="29"/>
      <c r="AB35" s="29"/>
      <c r="AC35" s="29"/>
      <c r="AD35" s="29"/>
      <c r="AE35" s="29"/>
      <c r="AF35" s="29"/>
      <c r="AG35"/>
      <c r="AH35"/>
      <c r="AI35"/>
      <c r="AJ35"/>
      <c r="AK35"/>
      <c r="AL35"/>
      <c r="AM35"/>
      <c r="AN35"/>
    </row>
    <row r="36" spans="1:40" x14ac:dyDescent="0.45">
      <c r="A36" s="29"/>
      <c r="B36" s="81"/>
      <c r="C36" s="81"/>
      <c r="D36" s="81"/>
      <c r="E36" s="81"/>
      <c r="F36" s="81"/>
      <c r="G36" s="81"/>
      <c r="H36" s="81"/>
      <c r="I36" s="81"/>
      <c r="J36" s="81"/>
      <c r="K36" s="81"/>
      <c r="L36" s="81"/>
      <c r="M36" s="81"/>
      <c r="N36" s="81"/>
      <c r="O36" s="81"/>
      <c r="P36" s="81"/>
      <c r="Q36" s="81"/>
      <c r="R36"/>
      <c r="S36" s="96" t="s">
        <v>325</v>
      </c>
      <c r="T36" s="96" t="s">
        <v>326</v>
      </c>
      <c r="U36" s="97" t="s">
        <v>364</v>
      </c>
      <c r="V36"/>
      <c r="W36" s="29"/>
      <c r="X36" s="29"/>
      <c r="Y36" s="29"/>
      <c r="Z36" s="29"/>
      <c r="AA36" s="29"/>
      <c r="AB36" s="29"/>
      <c r="AC36" s="29"/>
      <c r="AD36" s="29"/>
      <c r="AE36" s="29"/>
      <c r="AF36" s="29"/>
      <c r="AG36"/>
      <c r="AH36"/>
      <c r="AI36"/>
      <c r="AJ36"/>
      <c r="AK36"/>
      <c r="AL36"/>
      <c r="AM36"/>
      <c r="AN36"/>
    </row>
    <row r="37" spans="1:40" x14ac:dyDescent="0.45">
      <c r="A37" s="29"/>
      <c r="B37" s="81"/>
      <c r="C37" s="81"/>
      <c r="D37" s="81"/>
      <c r="E37" s="81"/>
      <c r="F37" s="81"/>
      <c r="G37" s="81"/>
      <c r="H37" s="81"/>
      <c r="I37" s="81"/>
      <c r="J37" s="81"/>
      <c r="K37" s="81"/>
      <c r="L37" s="81"/>
      <c r="M37" s="81"/>
      <c r="N37" s="81"/>
      <c r="O37" s="81"/>
      <c r="P37" s="81"/>
      <c r="Q37" s="81"/>
      <c r="R37"/>
      <c r="S37" s="75" t="s">
        <v>884</v>
      </c>
      <c r="T37" s="75">
        <v>0.2</v>
      </c>
      <c r="U37" s="92" t="s">
        <v>44</v>
      </c>
      <c r="V37" t="s">
        <v>1079</v>
      </c>
      <c r="W37" s="29"/>
      <c r="X37" s="29"/>
      <c r="Y37" s="29"/>
      <c r="Z37" s="29"/>
      <c r="AA37" s="29"/>
      <c r="AB37" s="29"/>
      <c r="AC37" s="29"/>
      <c r="AD37" s="29"/>
      <c r="AE37" s="29"/>
      <c r="AF37" s="29"/>
      <c r="AG37" s="29"/>
      <c r="AH37" s="29"/>
      <c r="AI37" s="29"/>
      <c r="AJ37" s="29"/>
      <c r="AK37" s="29"/>
      <c r="AL37" s="29"/>
      <c r="AM37" s="29"/>
      <c r="AN37" s="29"/>
    </row>
    <row r="38" spans="1:40" x14ac:dyDescent="0.45">
      <c r="A38" s="29"/>
      <c r="B38" s="81"/>
      <c r="C38" s="81"/>
      <c r="D38" s="81"/>
      <c r="E38" s="81"/>
      <c r="F38" s="81"/>
      <c r="G38" s="81"/>
      <c r="H38" s="81"/>
      <c r="I38" s="81"/>
      <c r="J38" s="81"/>
      <c r="K38" s="81"/>
      <c r="L38" s="81"/>
      <c r="M38" s="81"/>
      <c r="N38" s="81"/>
      <c r="O38" s="81"/>
      <c r="P38" s="81"/>
      <c r="Q38" s="81"/>
      <c r="R38"/>
      <c r="S38" s="75" t="s">
        <v>885</v>
      </c>
      <c r="T38" s="75">
        <v>0.5</v>
      </c>
      <c r="U38" s="92" t="s">
        <v>44</v>
      </c>
      <c r="V38" t="s">
        <v>1093</v>
      </c>
      <c r="W38" s="29"/>
      <c r="X38" s="29"/>
      <c r="Y38" s="29"/>
      <c r="Z38" s="29"/>
      <c r="AA38" s="29"/>
      <c r="AB38" s="29"/>
      <c r="AC38" s="29"/>
      <c r="AD38" s="29"/>
      <c r="AE38" s="29"/>
      <c r="AF38" s="29"/>
      <c r="AG38" s="29"/>
      <c r="AH38" s="29"/>
      <c r="AI38" s="29"/>
      <c r="AJ38" s="29"/>
      <c r="AK38" s="29"/>
      <c r="AL38" s="29"/>
      <c r="AM38" s="29"/>
      <c r="AN38" s="29"/>
    </row>
    <row r="39" spans="1:40" x14ac:dyDescent="0.45">
      <c r="B39" s="81"/>
      <c r="C39" s="81"/>
      <c r="D39" s="81"/>
      <c r="E39" s="81"/>
      <c r="F39" s="81"/>
      <c r="G39" s="81"/>
      <c r="H39" s="81"/>
      <c r="I39" s="81"/>
      <c r="J39" s="81"/>
      <c r="K39" s="81"/>
      <c r="L39" s="81"/>
      <c r="M39" s="81"/>
      <c r="N39" s="81"/>
      <c r="O39" s="81"/>
      <c r="P39" s="81"/>
      <c r="Q39" s="81"/>
      <c r="R39"/>
      <c r="S39" s="75" t="s">
        <v>957</v>
      </c>
      <c r="T39" s="75">
        <v>300</v>
      </c>
      <c r="U39" s="92"/>
      <c r="V39" t="s">
        <v>959</v>
      </c>
    </row>
    <row r="40" spans="1:40" x14ac:dyDescent="0.45">
      <c r="B40" s="81"/>
      <c r="C40" s="81"/>
      <c r="D40" s="81"/>
      <c r="E40" s="81"/>
      <c r="F40" s="81"/>
      <c r="G40" s="81"/>
      <c r="H40" s="81"/>
      <c r="I40" s="81"/>
      <c r="J40" s="81"/>
      <c r="K40" s="81"/>
      <c r="L40" s="81"/>
      <c r="M40" s="81"/>
      <c r="N40" s="81"/>
      <c r="O40" s="81"/>
      <c r="P40" s="81"/>
      <c r="Q40" s="81"/>
      <c r="R40" s="81"/>
      <c r="S40" s="75" t="s">
        <v>958</v>
      </c>
      <c r="T40" s="75">
        <v>64</v>
      </c>
      <c r="U40" s="92"/>
      <c r="V40" s="81" t="s">
        <v>960</v>
      </c>
    </row>
    <row r="41" spans="1:40" x14ac:dyDescent="0.45">
      <c r="B41" s="81"/>
      <c r="C41" s="81"/>
      <c r="D41" s="81"/>
      <c r="E41" s="81"/>
      <c r="F41" s="81"/>
      <c r="G41" s="81"/>
      <c r="H41" s="81"/>
      <c r="I41" s="81"/>
      <c r="J41" s="81"/>
      <c r="K41" s="81"/>
      <c r="L41" s="81"/>
      <c r="M41" s="81"/>
      <c r="N41" s="81"/>
      <c r="O41" s="81"/>
      <c r="P41" s="81"/>
      <c r="Q41" s="81"/>
      <c r="R41" s="81"/>
      <c r="S41" s="75" t="s">
        <v>213</v>
      </c>
      <c r="T41" s="75">
        <v>150</v>
      </c>
      <c r="U41" s="75" t="s">
        <v>44</v>
      </c>
      <c r="V41" s="81" t="s">
        <v>1092</v>
      </c>
    </row>
    <row r="42" spans="1:40" x14ac:dyDescent="0.45">
      <c r="B42" s="81"/>
      <c r="C42" s="81"/>
      <c r="D42" s="81"/>
      <c r="E42" s="81"/>
      <c r="F42" s="81"/>
      <c r="G42" s="81"/>
      <c r="H42" s="81"/>
      <c r="I42" s="81"/>
      <c r="J42" s="81"/>
      <c r="K42" s="81"/>
      <c r="L42" s="81"/>
      <c r="M42" s="81"/>
      <c r="N42" s="81"/>
      <c r="O42" s="81"/>
      <c r="P42" s="81"/>
      <c r="Q42" s="81"/>
      <c r="R42" s="81"/>
      <c r="S42" s="75" t="s">
        <v>891</v>
      </c>
      <c r="T42" s="75">
        <v>6.2831853000000004</v>
      </c>
      <c r="U42" s="75"/>
      <c r="V42" s="81" t="s">
        <v>1080</v>
      </c>
    </row>
    <row r="43" spans="1:40" x14ac:dyDescent="0.45">
      <c r="B43" s="81"/>
      <c r="C43" s="81"/>
      <c r="D43" s="81"/>
      <c r="E43" s="81"/>
      <c r="F43" s="81"/>
      <c r="G43" s="81"/>
      <c r="H43" s="81"/>
      <c r="I43" s="81"/>
      <c r="J43" s="81"/>
      <c r="K43" s="81"/>
      <c r="L43" s="81"/>
      <c r="M43" s="81"/>
      <c r="N43" s="81"/>
      <c r="O43" s="81"/>
      <c r="P43" s="81"/>
      <c r="Q43" s="81"/>
      <c r="R43" s="81"/>
      <c r="S43" s="75" t="s">
        <v>892</v>
      </c>
      <c r="T43" s="75">
        <v>6</v>
      </c>
      <c r="U43" s="75"/>
      <c r="V43" s="81" t="s">
        <v>1081</v>
      </c>
    </row>
    <row r="44" spans="1:40" x14ac:dyDescent="0.45">
      <c r="B44" s="81"/>
      <c r="C44" s="81"/>
      <c r="D44" s="81"/>
      <c r="E44" s="81"/>
      <c r="F44" s="81"/>
      <c r="G44" s="81"/>
      <c r="H44" s="81"/>
      <c r="I44" s="81"/>
      <c r="J44" s="81"/>
      <c r="K44" s="81"/>
      <c r="L44" s="81"/>
      <c r="M44" s="81"/>
      <c r="N44" s="81"/>
      <c r="O44" s="81"/>
      <c r="P44" s="81"/>
      <c r="Q44" s="81"/>
      <c r="R44" s="81"/>
      <c r="S44" s="75" t="s">
        <v>893</v>
      </c>
      <c r="T44" s="75">
        <v>30</v>
      </c>
      <c r="U44" s="75"/>
      <c r="V44" s="81" t="s">
        <v>1082</v>
      </c>
    </row>
    <row r="45" spans="1:40" x14ac:dyDescent="0.45">
      <c r="B45" s="81"/>
      <c r="C45" s="81"/>
      <c r="D45" s="81"/>
      <c r="E45" s="81"/>
      <c r="F45" s="81"/>
      <c r="G45" s="81"/>
      <c r="H45" s="81"/>
      <c r="I45" s="81"/>
      <c r="J45" s="81"/>
      <c r="K45" s="81"/>
      <c r="L45" s="81"/>
      <c r="M45" s="81"/>
      <c r="N45" s="81"/>
      <c r="O45" s="81"/>
      <c r="P45" s="81"/>
      <c r="Q45" s="81"/>
      <c r="R45" s="81"/>
      <c r="S45" s="75" t="s">
        <v>895</v>
      </c>
      <c r="T45" s="75">
        <f>Segs1*(Height/LH)</f>
        <v>225000</v>
      </c>
      <c r="U45" s="75"/>
      <c r="V45" s="81" t="s">
        <v>1091</v>
      </c>
    </row>
    <row r="46" spans="1:40" x14ac:dyDescent="0.45">
      <c r="B46" s="81"/>
      <c r="C46" s="81"/>
      <c r="D46" s="81"/>
      <c r="E46" s="81"/>
      <c r="F46" s="81"/>
      <c r="G46" s="81"/>
      <c r="H46" s="81"/>
      <c r="I46" s="81"/>
      <c r="J46" s="81"/>
      <c r="K46" s="81"/>
      <c r="L46" s="81"/>
      <c r="M46" s="81"/>
      <c r="N46" s="81"/>
      <c r="O46" s="81"/>
      <c r="P46" s="81"/>
      <c r="Q46" s="81"/>
      <c r="R46" s="81"/>
      <c r="S46" s="75" t="s">
        <v>902</v>
      </c>
      <c r="T46" s="75">
        <v>1</v>
      </c>
      <c r="U46" s="75"/>
      <c r="V46" s="81" t="s">
        <v>1083</v>
      </c>
    </row>
    <row r="47" spans="1:40" x14ac:dyDescent="0.45">
      <c r="B47" s="81"/>
      <c r="C47" s="81"/>
      <c r="D47" s="81"/>
      <c r="E47" s="81"/>
      <c r="F47" s="81"/>
      <c r="G47" s="81"/>
      <c r="H47" s="81"/>
      <c r="I47" s="81"/>
      <c r="J47" s="81"/>
      <c r="K47" s="81"/>
      <c r="L47" s="81"/>
      <c r="M47" s="81"/>
      <c r="N47" s="81"/>
      <c r="O47" s="81"/>
      <c r="P47" s="81"/>
      <c r="Q47" s="81"/>
      <c r="R47" s="81"/>
      <c r="S47" s="75" t="s">
        <v>331</v>
      </c>
      <c r="T47" s="75">
        <f>Height/LH</f>
        <v>750</v>
      </c>
      <c r="U47" s="75"/>
      <c r="V47" s="81" t="s">
        <v>1091</v>
      </c>
    </row>
    <row r="48" spans="1:40" x14ac:dyDescent="0.45">
      <c r="B48" s="81"/>
      <c r="C48" s="81"/>
      <c r="D48" s="81"/>
      <c r="E48" s="81"/>
      <c r="F48" s="81"/>
      <c r="G48" s="81"/>
      <c r="H48" s="81"/>
      <c r="I48" s="81"/>
      <c r="J48" s="81"/>
      <c r="K48" s="81"/>
      <c r="L48" s="81"/>
      <c r="M48" s="81"/>
      <c r="N48" s="81"/>
      <c r="O48" s="81"/>
      <c r="P48" s="81"/>
      <c r="Q48" s="81"/>
      <c r="R48" s="81"/>
      <c r="S48" s="75" t="s">
        <v>906</v>
      </c>
      <c r="T48" s="75">
        <v>15</v>
      </c>
      <c r="U48" s="75" t="s">
        <v>44</v>
      </c>
      <c r="V48" s="81" t="s">
        <v>1087</v>
      </c>
      <c r="W48" s="81"/>
    </row>
    <row r="49" spans="2:23" x14ac:dyDescent="0.45">
      <c r="B49" s="81"/>
      <c r="C49" s="81"/>
      <c r="D49" s="81"/>
      <c r="E49" s="81"/>
      <c r="F49" s="81"/>
      <c r="G49" s="81"/>
      <c r="H49" s="81"/>
      <c r="I49" s="81"/>
      <c r="J49" s="81"/>
      <c r="K49" s="81"/>
      <c r="L49" s="81"/>
      <c r="M49" s="81"/>
      <c r="N49" s="81"/>
      <c r="O49" s="81"/>
      <c r="P49" s="81"/>
      <c r="Q49" s="81"/>
      <c r="R49" s="81"/>
      <c r="S49" s="75" t="s">
        <v>907</v>
      </c>
      <c r="T49" s="75">
        <v>56.5</v>
      </c>
      <c r="U49" s="75" t="s">
        <v>44</v>
      </c>
      <c r="V49" s="81" t="s">
        <v>1108</v>
      </c>
      <c r="W49" s="81"/>
    </row>
    <row r="50" spans="2:23" x14ac:dyDescent="0.45">
      <c r="B50" s="81"/>
      <c r="C50" s="81"/>
      <c r="D50" s="81"/>
      <c r="E50" s="81"/>
      <c r="F50" s="81"/>
      <c r="G50" s="81"/>
      <c r="H50" s="81"/>
      <c r="I50" s="81"/>
      <c r="J50" s="81"/>
      <c r="K50" s="81"/>
      <c r="L50" s="81"/>
      <c r="M50" s="81"/>
      <c r="N50" s="81"/>
      <c r="O50" s="81"/>
      <c r="P50" s="81"/>
      <c r="Q50" s="81"/>
      <c r="R50" s="81"/>
      <c r="S50" s="75" t="s">
        <v>910</v>
      </c>
      <c r="T50" s="75">
        <v>2.5</v>
      </c>
      <c r="U50" s="75"/>
      <c r="V50" s="81" t="s">
        <v>1085</v>
      </c>
      <c r="W50" s="81"/>
    </row>
    <row r="51" spans="2:23" x14ac:dyDescent="0.45">
      <c r="B51" s="81"/>
      <c r="C51" s="81"/>
      <c r="D51" s="81"/>
      <c r="E51" s="81"/>
      <c r="F51" s="81"/>
      <c r="G51" s="81"/>
      <c r="H51" s="81"/>
      <c r="I51" s="81"/>
      <c r="J51" s="81"/>
      <c r="K51" s="81"/>
      <c r="L51" s="81"/>
      <c r="M51" s="81"/>
      <c r="N51" s="81"/>
      <c r="O51" s="81"/>
      <c r="P51" s="81"/>
      <c r="Q51" s="81"/>
      <c r="R51" s="81"/>
      <c r="S51" s="75" t="s">
        <v>912</v>
      </c>
      <c r="T51" s="75">
        <v>17.600000000000001</v>
      </c>
      <c r="U51" s="75" t="s">
        <v>44</v>
      </c>
      <c r="V51" s="81" t="s">
        <v>1086</v>
      </c>
      <c r="W51" s="81"/>
    </row>
    <row r="52" spans="2:23" x14ac:dyDescent="0.45">
      <c r="B52" s="81"/>
      <c r="C52" s="81"/>
      <c r="D52" s="81"/>
      <c r="E52" s="81"/>
      <c r="F52" s="81"/>
      <c r="G52" s="81"/>
      <c r="H52" s="81"/>
      <c r="I52" s="81"/>
      <c r="J52" s="81"/>
      <c r="K52" s="81"/>
      <c r="L52" s="81"/>
      <c r="M52" s="81"/>
      <c r="N52" s="81"/>
      <c r="O52" s="81"/>
      <c r="P52" s="81"/>
      <c r="Q52" s="81"/>
      <c r="R52" s="81"/>
      <c r="S52" s="75" t="s">
        <v>915</v>
      </c>
      <c r="T52" s="75">
        <v>20</v>
      </c>
      <c r="U52" s="75"/>
      <c r="V52" s="81" t="s">
        <v>1088</v>
      </c>
      <c r="W52" s="81"/>
    </row>
    <row r="53" spans="2:23" x14ac:dyDescent="0.45">
      <c r="B53" s="81"/>
      <c r="C53" s="81"/>
      <c r="D53" s="81"/>
      <c r="E53" s="81"/>
      <c r="F53" s="81"/>
      <c r="G53" s="81"/>
      <c r="H53" s="81"/>
      <c r="I53" s="81"/>
      <c r="J53" s="81"/>
      <c r="K53" s="81"/>
      <c r="L53" s="81"/>
      <c r="M53" s="81"/>
      <c r="N53" s="81"/>
      <c r="O53" s="81"/>
      <c r="P53" s="81"/>
      <c r="Q53" s="81"/>
      <c r="R53" s="81"/>
      <c r="S53" s="75" t="s">
        <v>1061</v>
      </c>
      <c r="T53" s="75">
        <v>22.5</v>
      </c>
      <c r="U53" s="75" t="s">
        <v>44</v>
      </c>
      <c r="V53" s="81" t="s">
        <v>1089</v>
      </c>
      <c r="W53" s="81"/>
    </row>
    <row r="54" spans="2:23" x14ac:dyDescent="0.45">
      <c r="B54" s="81"/>
      <c r="C54" s="81"/>
      <c r="D54" s="81"/>
      <c r="E54" s="81"/>
      <c r="F54" s="81"/>
      <c r="G54" s="81"/>
      <c r="H54" s="81"/>
      <c r="I54" s="81"/>
      <c r="J54" s="81"/>
      <c r="K54" s="81"/>
      <c r="L54" s="81"/>
      <c r="M54" s="81"/>
      <c r="N54" s="81"/>
      <c r="O54" s="81"/>
      <c r="P54" s="81"/>
      <c r="Q54" s="81"/>
      <c r="R54" s="81"/>
      <c r="S54" s="75" t="s">
        <v>1062</v>
      </c>
      <c r="T54" s="75">
        <v>15</v>
      </c>
      <c r="U54" s="75" t="s">
        <v>44</v>
      </c>
      <c r="V54" s="81" t="s">
        <v>1090</v>
      </c>
      <c r="W54" s="81"/>
    </row>
    <row r="55" spans="2:23" x14ac:dyDescent="0.45">
      <c r="B55" s="81"/>
      <c r="C55" s="81"/>
      <c r="D55" s="81"/>
      <c r="E55" s="81"/>
      <c r="F55" s="81"/>
      <c r="G55" s="81"/>
      <c r="H55" s="81"/>
      <c r="I55" s="81"/>
      <c r="J55" s="81"/>
      <c r="K55" s="81"/>
      <c r="L55" s="81"/>
      <c r="M55" s="81"/>
      <c r="N55" s="81"/>
      <c r="O55" s="81"/>
      <c r="P55" s="81"/>
      <c r="Q55" s="81"/>
      <c r="R55" s="81"/>
      <c r="S55" s="75" t="s">
        <v>953</v>
      </c>
      <c r="T55" s="75">
        <v>0.2</v>
      </c>
      <c r="U55" s="75"/>
      <c r="V55" s="81" t="s">
        <v>1070</v>
      </c>
      <c r="W55" s="81"/>
    </row>
    <row r="56" spans="2:23" x14ac:dyDescent="0.45">
      <c r="B56" s="81"/>
      <c r="C56" s="81"/>
      <c r="D56" s="81"/>
      <c r="E56" s="81"/>
      <c r="F56" s="81"/>
      <c r="G56" s="81"/>
      <c r="H56" s="81"/>
      <c r="I56" s="81"/>
      <c r="J56" s="81"/>
      <c r="K56" s="81"/>
      <c r="L56" s="81"/>
      <c r="M56" s="81"/>
      <c r="N56" s="81"/>
      <c r="O56" s="81"/>
      <c r="P56" s="81"/>
      <c r="Q56" s="81"/>
      <c r="R56" s="81"/>
      <c r="S56" s="75" t="s">
        <v>1064</v>
      </c>
      <c r="T56" s="75">
        <v>34</v>
      </c>
      <c r="U56" s="75" t="s">
        <v>44</v>
      </c>
      <c r="V56" s="80" t="s">
        <v>1071</v>
      </c>
      <c r="W56" s="81"/>
    </row>
    <row r="57" spans="2:23" x14ac:dyDescent="0.45">
      <c r="B57" s="81"/>
      <c r="C57" s="81"/>
      <c r="D57" s="81"/>
      <c r="E57" s="81"/>
      <c r="F57" s="81"/>
      <c r="G57" s="81"/>
      <c r="H57" s="81"/>
      <c r="I57" s="81"/>
      <c r="J57" s="81"/>
      <c r="K57" s="81"/>
      <c r="L57" s="81"/>
      <c r="M57" s="81"/>
      <c r="N57" s="81"/>
      <c r="O57" s="81"/>
      <c r="P57" s="81"/>
      <c r="Q57" s="81"/>
      <c r="R57" s="81"/>
      <c r="S57" s="75" t="s">
        <v>1065</v>
      </c>
      <c r="T57" s="75">
        <v>6</v>
      </c>
      <c r="U57" s="75"/>
      <c r="V57" s="80" t="s">
        <v>1072</v>
      </c>
      <c r="W57" s="81"/>
    </row>
    <row r="58" spans="2:23" x14ac:dyDescent="0.45">
      <c r="B58" s="81"/>
      <c r="C58" s="81"/>
      <c r="D58" s="81"/>
      <c r="E58" s="81"/>
      <c r="F58" s="81"/>
      <c r="G58" s="81"/>
      <c r="H58" s="81"/>
      <c r="I58" s="81"/>
      <c r="J58" s="81"/>
      <c r="K58" s="81"/>
      <c r="L58" s="81"/>
      <c r="M58" s="81"/>
      <c r="N58" s="81"/>
      <c r="O58" s="81"/>
      <c r="P58" s="81"/>
      <c r="Q58" s="81"/>
      <c r="R58" s="81"/>
      <c r="S58" s="75" t="s">
        <v>1063</v>
      </c>
      <c r="T58" s="75">
        <v>20</v>
      </c>
      <c r="U58" s="75" t="s">
        <v>44</v>
      </c>
      <c r="V58" s="80" t="s">
        <v>1073</v>
      </c>
      <c r="W58" s="81"/>
    </row>
    <row r="59" spans="2:23" x14ac:dyDescent="0.45">
      <c r="S59" s="75" t="s">
        <v>1066</v>
      </c>
      <c r="T59" s="75">
        <v>1</v>
      </c>
      <c r="U59" s="75" t="s">
        <v>44</v>
      </c>
      <c r="V59" s="80" t="s">
        <v>1074</v>
      </c>
    </row>
    <row r="60" spans="2:23" x14ac:dyDescent="0.45">
      <c r="S60" s="75" t="s">
        <v>1067</v>
      </c>
      <c r="T60" s="75">
        <v>5</v>
      </c>
      <c r="U60" s="75" t="s">
        <v>44</v>
      </c>
      <c r="V60" s="80" t="s">
        <v>1075</v>
      </c>
    </row>
    <row r="61" spans="2:23" x14ac:dyDescent="0.45">
      <c r="S61" s="75" t="s">
        <v>1059</v>
      </c>
      <c r="T61" s="75">
        <v>0.5</v>
      </c>
      <c r="U61" s="75" t="s">
        <v>44</v>
      </c>
      <c r="V61" s="80" t="s">
        <v>1076</v>
      </c>
    </row>
    <row r="62" spans="2:23" x14ac:dyDescent="0.45">
      <c r="S62" s="75" t="s">
        <v>1060</v>
      </c>
      <c r="T62" s="75">
        <v>30</v>
      </c>
      <c r="U62" s="75"/>
      <c r="V62" s="80" t="s">
        <v>1077</v>
      </c>
    </row>
    <row r="63" spans="2:23" x14ac:dyDescent="0.45">
      <c r="S63" s="75" t="s">
        <v>1068</v>
      </c>
      <c r="T63" s="75">
        <v>0.02</v>
      </c>
      <c r="U63" s="75" t="s">
        <v>1069</v>
      </c>
      <c r="V63" s="80" t="s">
        <v>1078</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67"/>
  <sheetViews>
    <sheetView topLeftCell="A121" workbookViewId="0">
      <selection activeCell="I129" sqref="I129"/>
    </sheetView>
  </sheetViews>
  <sheetFormatPr defaultRowHeight="14.25" x14ac:dyDescent="0.45"/>
  <sheetData>
    <row r="3" spans="1:46" x14ac:dyDescent="0.45">
      <c r="A3" s="58" t="s">
        <v>162</v>
      </c>
      <c r="B3" s="2" t="s">
        <v>955</v>
      </c>
      <c r="C3" s="58" t="s">
        <v>161</v>
      </c>
      <c r="D3" s="2" t="s">
        <v>956</v>
      </c>
      <c r="U3" s="89"/>
      <c r="AO3" t="s">
        <v>163</v>
      </c>
      <c r="AP3" t="s">
        <v>946</v>
      </c>
      <c r="AQ3" t="s">
        <v>162</v>
      </c>
      <c r="AR3" t="s">
        <v>955</v>
      </c>
      <c r="AS3" t="s">
        <v>161</v>
      </c>
      <c r="AT3" t="s">
        <v>956</v>
      </c>
    </row>
    <row r="4" spans="1:46" x14ac:dyDescent="0.45">
      <c r="A4" s="40" t="s">
        <v>0</v>
      </c>
      <c r="B4" s="2"/>
      <c r="C4" s="2"/>
      <c r="D4" s="2"/>
      <c r="E4" s="2"/>
      <c r="F4" s="2"/>
      <c r="G4" s="2"/>
      <c r="H4" s="2"/>
      <c r="I4" s="2"/>
      <c r="J4" s="2"/>
      <c r="K4" s="2"/>
      <c r="L4" s="2"/>
      <c r="M4" s="2"/>
      <c r="N4" s="2"/>
      <c r="O4" s="2"/>
      <c r="P4" s="2"/>
      <c r="Q4" s="58" t="s">
        <v>322</v>
      </c>
      <c r="U4" s="89"/>
    </row>
    <row r="5" spans="1:46" x14ac:dyDescent="0.45">
      <c r="A5" s="2">
        <v>1</v>
      </c>
      <c r="B5" s="142" t="s">
        <v>1</v>
      </c>
      <c r="C5" s="143" t="s">
        <v>18</v>
      </c>
      <c r="D5" s="143">
        <v>20</v>
      </c>
      <c r="E5" s="143">
        <v>10</v>
      </c>
      <c r="F5" s="143">
        <v>0</v>
      </c>
      <c r="G5" s="143">
        <v>30</v>
      </c>
      <c r="H5" s="143">
        <v>10</v>
      </c>
      <c r="I5" s="143">
        <v>0</v>
      </c>
      <c r="J5" s="143" t="s">
        <v>19</v>
      </c>
      <c r="K5" s="143">
        <f>FW</f>
        <v>0.5</v>
      </c>
      <c r="L5" s="143">
        <f>LH</f>
        <v>0.2</v>
      </c>
      <c r="M5" s="143"/>
      <c r="N5" s="143"/>
      <c r="O5" s="143"/>
      <c r="P5" s="143"/>
      <c r="Q5" s="143" t="s">
        <v>872</v>
      </c>
      <c r="S5" s="95" t="s">
        <v>40</v>
      </c>
      <c r="T5" s="3"/>
      <c r="U5" s="5"/>
    </row>
    <row r="6" spans="1:46" x14ac:dyDescent="0.45">
      <c r="A6" s="2">
        <v>2</v>
      </c>
      <c r="B6" s="142" t="s">
        <v>1</v>
      </c>
      <c r="C6" s="143" t="s">
        <v>18</v>
      </c>
      <c r="D6" s="143" t="s">
        <v>117</v>
      </c>
      <c r="E6" s="143" t="s">
        <v>117</v>
      </c>
      <c r="F6" s="143" t="s">
        <v>117</v>
      </c>
      <c r="G6" s="143">
        <v>175</v>
      </c>
      <c r="H6" s="143" t="s">
        <v>117</v>
      </c>
      <c r="I6" s="144" t="s">
        <v>117</v>
      </c>
      <c r="J6" s="144" t="s">
        <v>19</v>
      </c>
      <c r="K6" s="143">
        <f>FW</f>
        <v>0.5</v>
      </c>
      <c r="L6" s="143">
        <f>LH</f>
        <v>0.2</v>
      </c>
      <c r="M6" s="143"/>
      <c r="N6" s="143"/>
      <c r="O6" s="143"/>
      <c r="P6" s="143"/>
      <c r="Q6" s="143" t="s">
        <v>872</v>
      </c>
      <c r="S6" s="5" t="s">
        <v>115</v>
      </c>
      <c r="T6" s="126">
        <f>LH*0.75</f>
        <v>0.15000000000000002</v>
      </c>
      <c r="U6" s="5" t="s">
        <v>44</v>
      </c>
      <c r="V6" s="126">
        <v>0.15</v>
      </c>
    </row>
    <row r="7" spans="1:46" x14ac:dyDescent="0.45">
      <c r="A7" s="2">
        <v>3</v>
      </c>
      <c r="B7" s="142" t="s">
        <v>1</v>
      </c>
      <c r="C7" s="143" t="s">
        <v>18</v>
      </c>
      <c r="D7" s="143" t="s">
        <v>117</v>
      </c>
      <c r="E7" s="143" t="s">
        <v>117</v>
      </c>
      <c r="F7" s="143" t="s">
        <v>117</v>
      </c>
      <c r="G7" s="143" t="s">
        <v>117</v>
      </c>
      <c r="H7" s="143">
        <v>100</v>
      </c>
      <c r="I7" s="144" t="s">
        <v>117</v>
      </c>
      <c r="J7" s="144" t="s">
        <v>19</v>
      </c>
      <c r="K7" s="143">
        <f>FW</f>
        <v>0.5</v>
      </c>
      <c r="L7" s="143">
        <f>LH</f>
        <v>0.2</v>
      </c>
      <c r="M7" s="143"/>
      <c r="N7" s="143"/>
      <c r="O7" s="143"/>
      <c r="P7" s="143"/>
      <c r="Q7" s="17" t="s">
        <v>872</v>
      </c>
      <c r="S7" s="5" t="s">
        <v>88</v>
      </c>
      <c r="T7" s="5">
        <v>1</v>
      </c>
      <c r="U7" s="5" t="s">
        <v>90</v>
      </c>
    </row>
    <row r="8" spans="1:46" x14ac:dyDescent="0.45">
      <c r="A8" s="2">
        <v>4</v>
      </c>
      <c r="B8" s="145" t="s">
        <v>873</v>
      </c>
      <c r="C8" s="143" t="s">
        <v>18</v>
      </c>
      <c r="D8" s="143" t="s">
        <v>117</v>
      </c>
      <c r="E8" s="143" t="s">
        <v>117</v>
      </c>
      <c r="F8" s="143" t="s">
        <v>117</v>
      </c>
      <c r="G8" s="143">
        <v>130</v>
      </c>
      <c r="H8" s="143" t="s">
        <v>117</v>
      </c>
      <c r="I8" s="143" t="s">
        <v>117</v>
      </c>
      <c r="J8" s="143" t="s">
        <v>19</v>
      </c>
      <c r="K8" s="143">
        <f>FW</f>
        <v>0.5</v>
      </c>
      <c r="L8" s="143">
        <f>LH</f>
        <v>0.2</v>
      </c>
      <c r="M8" s="143"/>
      <c r="N8" s="143"/>
      <c r="O8" s="143"/>
      <c r="P8" s="143"/>
      <c r="Q8" s="17" t="s">
        <v>872</v>
      </c>
      <c r="S8" s="5" t="s">
        <v>89</v>
      </c>
      <c r="T8" s="126">
        <v>0.5</v>
      </c>
      <c r="U8" s="5" t="s">
        <v>90</v>
      </c>
    </row>
    <row r="9" spans="1:46" x14ac:dyDescent="0.45">
      <c r="A9" s="2">
        <v>5</v>
      </c>
      <c r="B9" s="146" t="s">
        <v>206</v>
      </c>
      <c r="C9" s="2">
        <v>100</v>
      </c>
      <c r="D9" s="2">
        <v>100</v>
      </c>
      <c r="E9" s="2" t="e" cm="1">
        <f t="array" ref="E9">(pi_2*Tval)-((0.02*pi_2*SIN(Tval*6*pi_2+(pi_2/2))))*(((1/(1+EXP(X_1-(Zval/Height)*X_2)))*(1/(1+EXP(X_1-(1-(Zval/Height))*X_2))))-(0.5*(SIN((Zval/Height)*0.5*pi_2))^20))</f>
        <v>#NAME?</v>
      </c>
      <c r="F9" s="2" t="e" cm="1">
        <f t="array" ref="F9">34+(20*(0.5+0.5*(COS(Tval*6*pi_2)))^2.5)+((0.5-(0.5*COS(Tval*(Segments/2)*2*PI())))*(1+(5*(0.5+0.5*(COS(Tval*6*pi_2)))^2)))+(((15*(0.5+0.5*(COS((Zval/Height+0.15)*2.3*pi_2)))^1.5)))</f>
        <v>#NAME?</v>
      </c>
      <c r="G9" s="2" t="e" cm="1">
        <f t="array" ref="G9">(LH*Tval)</f>
        <v>#NAME?</v>
      </c>
      <c r="H9" s="2">
        <v>0</v>
      </c>
      <c r="I9" s="2">
        <v>1</v>
      </c>
      <c r="J9" s="2" t="e">
        <f>Segments</f>
        <v>#NAME?</v>
      </c>
      <c r="K9" s="2" t="s">
        <v>874</v>
      </c>
      <c r="L9" s="2">
        <f>LH</f>
        <v>0.2</v>
      </c>
      <c r="M9" s="2"/>
      <c r="N9" s="2" t="s">
        <v>875</v>
      </c>
      <c r="O9" s="2"/>
      <c r="P9" s="2"/>
      <c r="Q9" s="2"/>
      <c r="S9" s="5" t="s">
        <v>226</v>
      </c>
      <c r="T9" s="5" t="s">
        <v>237</v>
      </c>
      <c r="U9" s="5"/>
      <c r="V9" s="5" t="s">
        <v>237</v>
      </c>
      <c r="W9" s="5" t="s">
        <v>237</v>
      </c>
      <c r="X9" s="5" t="s">
        <v>237</v>
      </c>
      <c r="Y9" s="5" t="s">
        <v>237</v>
      </c>
      <c r="Z9" s="5" t="s">
        <v>237</v>
      </c>
      <c r="AA9" s="5" t="s">
        <v>237</v>
      </c>
      <c r="AB9" s="127" t="s">
        <v>585</v>
      </c>
      <c r="AC9" s="128" t="s">
        <v>626</v>
      </c>
      <c r="AD9" s="5" t="s">
        <v>237</v>
      </c>
      <c r="AE9" s="5" t="s">
        <v>237</v>
      </c>
      <c r="AF9" s="5" t="s">
        <v>237</v>
      </c>
      <c r="AG9" s="5" t="s">
        <v>237</v>
      </c>
      <c r="AH9" s="5" t="s">
        <v>237</v>
      </c>
    </row>
    <row r="10" spans="1:46" x14ac:dyDescent="0.45">
      <c r="A10" s="2">
        <v>6</v>
      </c>
      <c r="B10" s="147" t="s">
        <v>205</v>
      </c>
      <c r="C10" s="2" t="e" cm="1">
        <f t="array" ref="C10">100+RadInner+((RadOuter-RadInner)*(1-Tval))</f>
        <v>#NAME?</v>
      </c>
      <c r="D10" s="2" t="e" cm="1">
        <f t="array" ref="D10">100+(0.2*(FrameWidthFactor*FW))+(Amp_1*Tval)*((0.5-0.5*COS((Tval^0.66)*3*pi_2))^1)</f>
        <v>#NAME?</v>
      </c>
      <c r="E10" s="2">
        <v>0</v>
      </c>
      <c r="F10" s="2">
        <v>0</v>
      </c>
      <c r="G10" s="2">
        <v>1</v>
      </c>
      <c r="H10" s="2">
        <v>128</v>
      </c>
      <c r="I10" s="2">
        <f>FW*FrameWidthFactor</f>
        <v>1.25</v>
      </c>
      <c r="J10" s="2">
        <f>LH</f>
        <v>0.2</v>
      </c>
      <c r="K10" s="2"/>
      <c r="L10" s="2">
        <f>NozzleFeedratePrinting/FrameWidthFactor</f>
        <v>400</v>
      </c>
      <c r="M10" s="2"/>
      <c r="N10" s="2"/>
      <c r="O10" s="2" t="s">
        <v>183</v>
      </c>
      <c r="P10" s="2" t="s">
        <v>283</v>
      </c>
      <c r="Q10" s="2"/>
      <c r="S10" s="5" t="s">
        <v>227</v>
      </c>
      <c r="T10" s="5">
        <v>0</v>
      </c>
      <c r="U10" s="5"/>
    </row>
    <row r="11" spans="1:46" x14ac:dyDescent="0.45">
      <c r="A11" s="2">
        <v>7</v>
      </c>
      <c r="B11" s="147" t="s">
        <v>10</v>
      </c>
      <c r="C11" s="2">
        <v>100</v>
      </c>
      <c r="D11" s="2">
        <v>100</v>
      </c>
      <c r="E11" s="2">
        <v>0</v>
      </c>
      <c r="F11" s="2" cm="1">
        <f t="array" ref="F11">RadInner</f>
        <v>15</v>
      </c>
      <c r="G11" s="2">
        <v>0</v>
      </c>
      <c r="H11" s="2">
        <v>30</v>
      </c>
      <c r="I11" s="2" t="s">
        <v>38</v>
      </c>
      <c r="J11" s="2">
        <v>15</v>
      </c>
      <c r="K11" s="2">
        <f>FW*FrameWidthFactor</f>
        <v>1.25</v>
      </c>
      <c r="L11" s="2">
        <f>LH</f>
        <v>0.2</v>
      </c>
      <c r="M11" s="2" t="str">
        <f>"F="&amp;NozzleFeedratePrinting/FrameWidthFactor</f>
        <v>F=400</v>
      </c>
      <c r="N11" s="2"/>
      <c r="O11" s="2"/>
      <c r="P11" s="2"/>
      <c r="Q11" s="2"/>
      <c r="S11" s="57"/>
      <c r="T11" s="57"/>
      <c r="U11" s="90"/>
    </row>
    <row r="12" spans="1:46" x14ac:dyDescent="0.45">
      <c r="A12" s="2">
        <v>8</v>
      </c>
      <c r="B12" s="147" t="s">
        <v>17</v>
      </c>
      <c r="C12" s="98" t="s">
        <v>876</v>
      </c>
      <c r="D12" s="2" t="s">
        <v>2</v>
      </c>
      <c r="E12" s="2">
        <v>100</v>
      </c>
      <c r="F12" s="2">
        <v>100</v>
      </c>
      <c r="G12" s="2">
        <v>30</v>
      </c>
      <c r="H12" s="2"/>
      <c r="I12" s="2"/>
      <c r="J12" s="2"/>
      <c r="K12" s="2"/>
      <c r="L12" s="2"/>
      <c r="M12" s="2"/>
      <c r="N12" s="2"/>
      <c r="O12" s="2"/>
      <c r="P12" s="2"/>
      <c r="Q12" s="2"/>
      <c r="S12" s="5" t="s">
        <v>371</v>
      </c>
      <c r="T12" s="5">
        <v>60</v>
      </c>
      <c r="U12" s="5" t="s">
        <v>43</v>
      </c>
      <c r="X12" s="137">
        <v>60</v>
      </c>
      <c r="Y12" s="124">
        <v>60</v>
      </c>
      <c r="Z12" s="126">
        <v>60</v>
      </c>
      <c r="AA12" s="127">
        <v>60</v>
      </c>
      <c r="AB12" s="127">
        <v>60</v>
      </c>
      <c r="AC12" s="134">
        <v>60</v>
      </c>
      <c r="AD12" s="135">
        <v>60</v>
      </c>
      <c r="AE12" s="136">
        <v>60</v>
      </c>
      <c r="AF12" s="138">
        <v>60</v>
      </c>
      <c r="AG12" s="132">
        <v>60</v>
      </c>
      <c r="AH12" s="139">
        <v>60</v>
      </c>
    </row>
    <row r="13" spans="1:46" x14ac:dyDescent="0.45">
      <c r="A13" s="2">
        <v>9</v>
      </c>
      <c r="B13" s="147" t="s">
        <v>54</v>
      </c>
      <c r="C13" s="98" t="s">
        <v>877</v>
      </c>
      <c r="D13" s="2">
        <v>100</v>
      </c>
      <c r="E13" s="2">
        <v>100</v>
      </c>
      <c r="F13" s="2">
        <v>60</v>
      </c>
      <c r="G13" s="2">
        <v>0</v>
      </c>
      <c r="H13" s="2">
        <v>5</v>
      </c>
      <c r="I13" s="2"/>
      <c r="J13" s="2"/>
      <c r="K13" s="2"/>
      <c r="L13" s="2"/>
      <c r="M13" s="2"/>
      <c r="N13" s="2"/>
      <c r="O13" s="2"/>
      <c r="P13" s="2"/>
      <c r="Q13" s="2"/>
      <c r="S13" s="5" t="s">
        <v>86</v>
      </c>
      <c r="T13" s="5">
        <v>1000</v>
      </c>
      <c r="U13" s="5" t="s">
        <v>45</v>
      </c>
    </row>
    <row r="14" spans="1:46" x14ac:dyDescent="0.45">
      <c r="A14" s="2">
        <v>10</v>
      </c>
      <c r="B14" s="142" t="s">
        <v>279</v>
      </c>
      <c r="C14" s="2">
        <v>5</v>
      </c>
      <c r="D14" s="2" t="s">
        <v>203</v>
      </c>
      <c r="E14" s="2">
        <v>100</v>
      </c>
      <c r="F14" s="2">
        <v>100</v>
      </c>
      <c r="G14" s="2">
        <v>0</v>
      </c>
      <c r="H14" s="2" t="e" cm="1">
        <f t="array" ref="H14">(22.5*(SIN(Zval/Height*0.5*pi_2))^1)+(0.5*(SIN(Zval/Height*30*2*PI()))^2)</f>
        <v>#NAME?</v>
      </c>
      <c r="I14" s="2">
        <v>0</v>
      </c>
      <c r="J14" s="2" t="s">
        <v>136</v>
      </c>
      <c r="K14" s="2" t="s">
        <v>136</v>
      </c>
      <c r="L14" s="2"/>
      <c r="M14" s="2"/>
      <c r="N14" s="2"/>
      <c r="O14" s="2" t="s">
        <v>282</v>
      </c>
      <c r="P14" s="2" t="s">
        <v>285</v>
      </c>
      <c r="Q14" s="2"/>
      <c r="S14" s="5" t="s">
        <v>87</v>
      </c>
      <c r="T14" s="5">
        <v>7200</v>
      </c>
      <c r="U14" s="5" t="s">
        <v>45</v>
      </c>
    </row>
    <row r="15" spans="1:46" x14ac:dyDescent="0.45">
      <c r="A15" s="2">
        <v>11</v>
      </c>
      <c r="B15" s="148" t="s">
        <v>279</v>
      </c>
      <c r="C15" s="149" t="s">
        <v>878</v>
      </c>
      <c r="D15" s="2" t="s">
        <v>203</v>
      </c>
      <c r="E15" s="2">
        <v>100</v>
      </c>
      <c r="F15" s="2">
        <v>100</v>
      </c>
      <c r="G15" s="2">
        <v>0</v>
      </c>
      <c r="H15" s="2" t="e" cm="1">
        <f t="array" ref="H15">IF(Rval&gt;=RadOuter,((((15*(0.5+0.5*(COS((Zval/Height+0.15)*2.3*pi_2)))^1.5)))-1)+((22.5*(SIN(Zval/Height*0.5*pi_2))^1)+(0.5*(SIN(Zval/Height*30*2*PI()))^2)),0)</f>
        <v>#NAME?</v>
      </c>
      <c r="I15" s="2">
        <v>0</v>
      </c>
      <c r="J15" s="2" t="s">
        <v>136</v>
      </c>
      <c r="K15" s="2" t="s">
        <v>136</v>
      </c>
      <c r="L15" s="2"/>
      <c r="M15" s="2"/>
      <c r="N15" s="2"/>
      <c r="O15" s="2" t="s">
        <v>282</v>
      </c>
      <c r="P15" s="2" t="s">
        <v>285</v>
      </c>
      <c r="Q15" s="2"/>
      <c r="S15" s="5" t="s">
        <v>41</v>
      </c>
      <c r="T15" s="122">
        <v>210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45">
      <c r="A16" s="2">
        <v>12</v>
      </c>
      <c r="B16" s="150" t="s">
        <v>298</v>
      </c>
      <c r="C16" s="98" t="s">
        <v>879</v>
      </c>
      <c r="D16" s="2">
        <f>InnerFrameLayers-1</f>
        <v>19</v>
      </c>
      <c r="E16" s="2">
        <v>0</v>
      </c>
      <c r="F16" s="2">
        <v>0</v>
      </c>
      <c r="G16" s="2">
        <f>LH</f>
        <v>0.2</v>
      </c>
      <c r="H16" s="2"/>
      <c r="I16" s="2"/>
      <c r="J16" s="2"/>
      <c r="K16" s="2"/>
      <c r="L16" s="2"/>
      <c r="M16" s="2"/>
      <c r="N16" s="2"/>
      <c r="O16" s="2"/>
      <c r="P16" s="2"/>
      <c r="Q16" s="2"/>
      <c r="S16" s="5" t="s">
        <v>42</v>
      </c>
      <c r="T16" s="122">
        <v>2.85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45">
      <c r="A17" s="2">
        <v>13</v>
      </c>
      <c r="B17" s="146" t="s">
        <v>206</v>
      </c>
      <c r="C17" s="2">
        <v>100</v>
      </c>
      <c r="D17" s="2">
        <v>100</v>
      </c>
      <c r="E17" s="2" t="e" cm="1">
        <f t="array" ref="E17">(pi_2*Tval)-((0.02*pi_2*SIN(Tval*6*pi_2+(pi_2/2))))*(((1/(1+EXP(X_1-(Zval/Height)*X_2)))*(1/(1+EXP(X_1-(1-(Zval/Height))*X_2))))-(0.5*(SIN((Zval/Height)*0.5*pi_2))^20))</f>
        <v>#NAME?</v>
      </c>
      <c r="F17" s="2" t="e" cm="1">
        <f t="array" ref="F17">34+(20*(0.5+0.5*(COS(Tval*6*pi_2)))^2.5)+((0.5-(0.5*COS(Tval*(Segments/2)*2*PI())))*(1+(5*(0.5+0.5*(COS(Tval*6*pi_2)))^2)))+(((15*(0.5+0.5*(COS((Zval/Height+0.15)*2.3*pi_2)))^1.5)))</f>
        <v>#NAME?</v>
      </c>
      <c r="G17" s="2" t="e" cm="1">
        <f t="array" ref="G17">(LH*Tval)</f>
        <v>#NAME?</v>
      </c>
      <c r="H17" s="2">
        <f>InnerFrameLayers</f>
        <v>20</v>
      </c>
      <c r="I17" s="2">
        <f>(Height/LH)</f>
        <v>750</v>
      </c>
      <c r="J17" s="2" t="e">
        <f>Segments*(I17-H17)</f>
        <v>#NAME?</v>
      </c>
      <c r="K17" s="2" t="s">
        <v>874</v>
      </c>
      <c r="L17" s="2">
        <f>LH</f>
        <v>0.2</v>
      </c>
      <c r="M17" s="2"/>
      <c r="N17" s="2" t="s">
        <v>875</v>
      </c>
      <c r="O17" s="2"/>
      <c r="P17" s="2"/>
      <c r="Q17" s="2"/>
      <c r="S17" s="5" t="s">
        <v>46</v>
      </c>
      <c r="T17" s="122" t="s">
        <v>82</v>
      </c>
      <c r="U17" s="5" t="s">
        <v>91</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45">
      <c r="A18" s="2">
        <v>14</v>
      </c>
      <c r="B18" s="142" t="s">
        <v>279</v>
      </c>
      <c r="C18" s="2">
        <v>13</v>
      </c>
      <c r="D18" s="2" t="s">
        <v>203</v>
      </c>
      <c r="E18" s="2">
        <v>100</v>
      </c>
      <c r="F18" s="2">
        <v>100</v>
      </c>
      <c r="G18" s="2">
        <v>0</v>
      </c>
      <c r="H18" s="2" t="e" cm="1">
        <f t="array" ref="H18">(22.5*(SIN(Zval/Height*0.5*pi_2))^1)+(0.5*(SIN(Zval/Height*30*2*PI()))^2)</f>
        <v>#NAME?</v>
      </c>
      <c r="I18" s="2">
        <v>0</v>
      </c>
      <c r="J18" s="2" t="s">
        <v>136</v>
      </c>
      <c r="K18" s="2" t="s">
        <v>136</v>
      </c>
      <c r="L18" s="2"/>
      <c r="M18" s="2"/>
      <c r="N18" s="2"/>
      <c r="O18" s="2" t="s">
        <v>282</v>
      </c>
      <c r="P18" s="2" t="s">
        <v>285</v>
      </c>
      <c r="Q18" s="2"/>
      <c r="S18" s="5" t="s">
        <v>125</v>
      </c>
      <c r="T18" s="122" t="s">
        <v>186</v>
      </c>
      <c r="U18" s="5"/>
      <c r="V18" s="122" t="s">
        <v>186</v>
      </c>
      <c r="W18" s="123" t="s">
        <v>451</v>
      </c>
      <c r="X18" s="137" t="s">
        <v>426</v>
      </c>
      <c r="Y18" s="24" t="s">
        <v>544</v>
      </c>
      <c r="Z18" s="126" t="s">
        <v>494</v>
      </c>
      <c r="AA18" s="127" t="s">
        <v>584</v>
      </c>
      <c r="AB18" s="127" t="s">
        <v>585</v>
      </c>
      <c r="AC18" s="134" t="s">
        <v>632</v>
      </c>
      <c r="AD18" s="135" t="s">
        <v>664</v>
      </c>
      <c r="AE18" s="136" t="s">
        <v>727</v>
      </c>
      <c r="AF18" s="138" t="s">
        <v>751</v>
      </c>
      <c r="AG18" s="132" t="s">
        <v>784</v>
      </c>
      <c r="AH18" s="139" t="s">
        <v>813</v>
      </c>
    </row>
    <row r="19" spans="1:34" x14ac:dyDescent="0.45">
      <c r="A19" s="2">
        <v>15</v>
      </c>
      <c r="B19" s="146" t="s">
        <v>1</v>
      </c>
      <c r="C19" s="2" t="s">
        <v>18</v>
      </c>
      <c r="D19" s="2" t="s">
        <v>117</v>
      </c>
      <c r="E19" s="2" t="s">
        <v>117</v>
      </c>
      <c r="F19" s="2" t="s">
        <v>117</v>
      </c>
      <c r="G19" s="2" t="s">
        <v>117</v>
      </c>
      <c r="H19" s="2" t="s">
        <v>117</v>
      </c>
      <c r="I19" s="2" t="s">
        <v>880</v>
      </c>
      <c r="J19" s="2" t="s">
        <v>23</v>
      </c>
      <c r="K19" s="2"/>
      <c r="L19" s="2"/>
      <c r="M19" s="2"/>
      <c r="N19" s="2"/>
      <c r="O19" s="2"/>
      <c r="P19" s="2"/>
      <c r="Q19" s="2"/>
      <c r="S19" s="5" t="s">
        <v>185</v>
      </c>
      <c r="T19" s="122" t="s">
        <v>156</v>
      </c>
      <c r="U19" s="5"/>
      <c r="V19" s="122" t="s">
        <v>156</v>
      </c>
      <c r="W19" s="123" t="s">
        <v>451</v>
      </c>
      <c r="X19" s="137" t="s">
        <v>426</v>
      </c>
      <c r="Y19" s="24" t="s">
        <v>544</v>
      </c>
      <c r="Z19" s="126" t="s">
        <v>494</v>
      </c>
      <c r="AA19" s="127" t="s">
        <v>584</v>
      </c>
      <c r="AB19" s="127" t="s">
        <v>585</v>
      </c>
      <c r="AC19" s="134" t="s">
        <v>632</v>
      </c>
      <c r="AD19" s="135" t="s">
        <v>664</v>
      </c>
      <c r="AE19" s="136" t="s">
        <v>727</v>
      </c>
      <c r="AF19" s="138" t="s">
        <v>751</v>
      </c>
      <c r="AG19" s="132" t="s">
        <v>784</v>
      </c>
      <c r="AH19" s="139" t="s">
        <v>813</v>
      </c>
    </row>
    <row r="20" spans="1:34" x14ac:dyDescent="0.45">
      <c r="A20" s="29"/>
      <c r="B20" s="146"/>
      <c r="C20" s="2"/>
      <c r="D20" s="2"/>
      <c r="E20" s="2"/>
      <c r="F20" s="2"/>
      <c r="G20" s="2"/>
      <c r="H20" s="2"/>
      <c r="I20" s="2"/>
      <c r="J20" s="2"/>
      <c r="K20" s="2"/>
      <c r="L20" s="2"/>
      <c r="M20" s="2"/>
      <c r="N20" s="2"/>
      <c r="O20" s="2"/>
      <c r="P20" s="2"/>
      <c r="Q20" s="2"/>
      <c r="S20" s="5" t="s">
        <v>200</v>
      </c>
      <c r="T20" s="5">
        <v>20</v>
      </c>
      <c r="U20" s="5" t="s">
        <v>44</v>
      </c>
    </row>
    <row r="21" spans="1:34" x14ac:dyDescent="0.45">
      <c r="A21" s="29"/>
      <c r="B21" s="146"/>
      <c r="C21" s="2"/>
      <c r="D21" s="2"/>
      <c r="E21" s="146"/>
      <c r="F21" s="146"/>
      <c r="G21" s="146"/>
      <c r="H21" s="146"/>
      <c r="I21" s="2"/>
      <c r="J21" s="2"/>
      <c r="K21" s="2"/>
      <c r="L21" s="2"/>
      <c r="M21" s="2"/>
      <c r="N21" s="2"/>
      <c r="O21" s="2"/>
      <c r="P21" s="2"/>
      <c r="Q21" s="2"/>
      <c r="S21" s="5" t="s">
        <v>201</v>
      </c>
      <c r="T21" s="5">
        <v>10</v>
      </c>
      <c r="U21" s="5" t="s">
        <v>44</v>
      </c>
    </row>
    <row r="22" spans="1:34" x14ac:dyDescent="0.45">
      <c r="A22" s="29"/>
      <c r="B22" s="81"/>
      <c r="C22" s="81"/>
      <c r="D22" s="81"/>
      <c r="E22" s="146"/>
      <c r="F22" s="146"/>
      <c r="G22" s="146"/>
      <c r="H22" s="146"/>
      <c r="I22" s="81"/>
      <c r="J22" s="81"/>
      <c r="K22" s="81"/>
      <c r="L22" s="81"/>
      <c r="M22" s="81"/>
      <c r="N22" s="81"/>
      <c r="O22" s="81"/>
      <c r="P22" s="81"/>
      <c r="S22" s="5" t="s">
        <v>202</v>
      </c>
      <c r="T22" s="5">
        <v>0.3</v>
      </c>
      <c r="U22" s="5" t="s">
        <v>44</v>
      </c>
    </row>
    <row r="23" spans="1:34" x14ac:dyDescent="0.45">
      <c r="A23" s="29"/>
      <c r="B23" s="81"/>
      <c r="C23" s="81"/>
      <c r="D23" s="81"/>
      <c r="E23" s="146"/>
      <c r="F23" s="146"/>
      <c r="G23" s="146"/>
      <c r="H23" s="146"/>
      <c r="I23" s="81"/>
      <c r="J23" s="81"/>
      <c r="K23" s="81"/>
      <c r="L23" s="81"/>
      <c r="M23" s="81"/>
      <c r="N23" s="81"/>
      <c r="O23" s="81"/>
      <c r="P23" s="81"/>
      <c r="S23" s="78" t="s">
        <v>372</v>
      </c>
      <c r="T23" s="5">
        <v>255</v>
      </c>
      <c r="U23" s="5"/>
      <c r="V23" s="1"/>
    </row>
    <row r="24" spans="1:34" x14ac:dyDescent="0.45">
      <c r="A24" s="29"/>
      <c r="B24" s="81"/>
      <c r="C24" s="81"/>
      <c r="D24" s="81"/>
      <c r="E24" s="146"/>
      <c r="F24" s="146"/>
      <c r="G24" s="146"/>
      <c r="H24" s="146"/>
      <c r="I24" s="81"/>
      <c r="J24" s="81"/>
      <c r="K24" s="81"/>
      <c r="L24" s="81"/>
      <c r="M24" s="81"/>
      <c r="N24" s="81"/>
      <c r="O24" s="81"/>
      <c r="P24" s="81"/>
      <c r="S24" s="5" t="s">
        <v>187</v>
      </c>
      <c r="T24" s="5" t="s">
        <v>199</v>
      </c>
      <c r="U24" s="5" t="s">
        <v>191</v>
      </c>
    </row>
    <row r="25" spans="1:34" x14ac:dyDescent="0.45">
      <c r="A25" s="29"/>
      <c r="B25" s="146"/>
      <c r="C25" s="2"/>
      <c r="D25" s="2"/>
      <c r="E25" s="2"/>
      <c r="F25" s="2" t="e" cm="1">
        <f t="array" ref="F25">30+(((20*(0.5-0.5*(COS(Tval*6*pi_2)))^2.5)))+(6*(0.5+(0.5*COS(Tval*(Segments/2)*2*PI()))))+(20*(SIN((Zval/Height)*0.5*pi_2))^2)+(3*(SIN((Zval/Height)*7.5*2*PI()))^2)+(((20*(0.5+0.5*(COS((Zval/Height+0.25)*2*pi_2)))^2.5)))</f>
        <v>#NAME?</v>
      </c>
      <c r="G25" s="2"/>
      <c r="H25" s="2"/>
      <c r="I25" s="2"/>
      <c r="J25" s="2"/>
      <c r="K25" s="2"/>
      <c r="L25" s="2"/>
      <c r="M25" s="2"/>
      <c r="N25" s="2"/>
      <c r="O25" s="2"/>
      <c r="P25" s="2"/>
      <c r="Q25" s="2"/>
      <c r="S25" s="5" t="s">
        <v>192</v>
      </c>
      <c r="T25" s="5">
        <v>5</v>
      </c>
      <c r="U25" s="5" t="s">
        <v>44</v>
      </c>
      <c r="V25" s="1"/>
    </row>
    <row r="26" spans="1:34" x14ac:dyDescent="0.45">
      <c r="A26" s="29"/>
      <c r="B26" s="146"/>
      <c r="C26" s="2"/>
      <c r="D26" s="2"/>
      <c r="E26" s="2" t="e" cm="1">
        <f t="array" ref="E26">(2*PI()*Tval)</f>
        <v>#NAME?</v>
      </c>
      <c r="F26" s="2" t="e" cm="1">
        <f t="array" ref="F26">30+(((20*(0.5-0.5*(COS(Tval*6*pi_2)))^2.5)))+(6*(0.5+(0.5*COS(Tval*(Segments/2)*2*PI()))))+(22.5*(SIN(Zval/Height*0.5*pi_2))^2)+(0*(SIN(Zval/Height*7.5*2*PI()))^2)+(((17.5*(0.5+0.5*(COS((Zval/Height+0.15)*2.3*pi_2)))^2)))</f>
        <v>#NAME?</v>
      </c>
      <c r="G26" s="2"/>
      <c r="H26" s="2"/>
      <c r="I26" s="2"/>
      <c r="J26" s="2"/>
      <c r="K26" s="2"/>
      <c r="L26" s="2"/>
      <c r="M26" s="2"/>
      <c r="N26" s="2"/>
      <c r="O26" s="2"/>
      <c r="P26" s="2"/>
      <c r="Q26" s="2"/>
      <c r="S26" s="5" t="s">
        <v>193</v>
      </c>
      <c r="T26" s="5">
        <v>1</v>
      </c>
      <c r="U26" s="5" t="s">
        <v>91</v>
      </c>
    </row>
    <row r="27" spans="1:34" x14ac:dyDescent="0.45">
      <c r="A27" s="29"/>
      <c r="B27" s="81"/>
      <c r="C27" s="81"/>
      <c r="D27" s="81"/>
      <c r="E27" s="2" t="e" cm="1">
        <f t="array" ref="E27">(pi_2*Tval)-((0.02*pi_2*SIN(Tval*6*pi_2)))*(((1/(1+EXP(X_1-(Zval/Height)*X_2)))*(1/(1+EXP(X_1-(1-(Zval/Height))*X_2))))-(0.5*(SIN((Zval/Height)*0.5*pi_2))^20))</f>
        <v>#NAME?</v>
      </c>
      <c r="F27" s="2" t="e" cm="1">
        <f t="array" ref="F27">30+(((20*(0.5-0.5*(COS(Tval*6*pi_2)))^2.5)))+(6*(0.5+(0.5*COS(Tval*(Segments/2)*2*PI()))))+(22.5*(SIN(Zval/Height*0.5*pi_2))^1)+(0*(SIN(Zval/Height*7.5*2*PI()))^2)+(((15*(0.5+0.5*(COS((Zval/Height+0.15)*2.3*pi_2)))^1.5)))</f>
        <v>#NAME?</v>
      </c>
      <c r="G27" s="2" t="e" cm="1">
        <f t="array" ref="G27">(LH*Tval)/PreviewFactor</f>
        <v>#NAME?</v>
      </c>
      <c r="H27" s="81"/>
      <c r="I27" s="81"/>
      <c r="J27" s="81"/>
      <c r="K27" s="81"/>
      <c r="L27" s="81"/>
      <c r="M27" s="81"/>
      <c r="N27" s="81"/>
      <c r="O27" s="81"/>
      <c r="P27" s="81"/>
      <c r="S27" s="5" t="s">
        <v>194</v>
      </c>
      <c r="T27" s="5">
        <v>3000</v>
      </c>
      <c r="U27" s="5" t="s">
        <v>45</v>
      </c>
    </row>
    <row r="28" spans="1:34" x14ac:dyDescent="0.45">
      <c r="A28" s="29"/>
      <c r="B28" s="81"/>
      <c r="C28" s="81"/>
      <c r="D28" s="81"/>
      <c r="E28" s="2" t="e" cm="1">
        <f t="array" ref="E28">(pi_2*Tval)-((0.02*pi_2*SIN(Tval*6*pi_2)))*(((1/(1+EXP(X_1-(Zval/Height)*X_2)))*(1/(1+EXP(X_1-(1-(Zval/Height))*X_2))))-(0.5*(SIN((Zval/Height)*0.5*pi_2))^20))</f>
        <v>#NAME?</v>
      </c>
      <c r="F28" s="2" t="e" cm="1">
        <f t="array" ref="F28">30+(((20*(0.5-0.5*(COS(Tval*6*pi_2)))^2.5)))+(6*(0.5+(0.5*COS(Tval*(Segments/2)*2*PI()))))+(22.5*(SIN(Zval/Height*0.5*pi_2))^1)+(2*(SIN(Zval/Height*15*2*PI()))^2)+(((15*(0.5+0.5*(COS((Zval/Height+0.15)*2.3*pi_2)))^1.5)))</f>
        <v>#NAME?</v>
      </c>
      <c r="G28" s="2" t="e" cm="1">
        <f t="array" ref="G28">(LH*Tval)/PreviewFactor</f>
        <v>#NAME?</v>
      </c>
      <c r="H28" s="81"/>
      <c r="I28" s="81"/>
      <c r="J28" s="81"/>
      <c r="K28" s="81"/>
      <c r="L28" s="81"/>
      <c r="M28" s="81"/>
      <c r="N28" s="81"/>
      <c r="O28" s="81"/>
      <c r="P28" s="81"/>
      <c r="S28" s="5" t="s">
        <v>195</v>
      </c>
      <c r="T28" s="5">
        <v>-1</v>
      </c>
      <c r="U28" s="5" t="s">
        <v>91</v>
      </c>
    </row>
    <row r="29" spans="1:34" x14ac:dyDescent="0.45">
      <c r="A29" s="29"/>
      <c r="B29" s="81"/>
      <c r="C29" s="81"/>
      <c r="D29" s="81"/>
      <c r="E29" s="81"/>
      <c r="F29" s="81"/>
      <c r="G29" s="2" t="e" cm="1">
        <f t="array" ref="G29">(LH*Tval+(((LH*(0.5-0.5*(COS(Tval*6*pi_2)))^2.5))*(((-COS((Zval/Height+0.15)*2.3*pi_2)))^1.5)))/PreviewFactor</f>
        <v>#NAME?</v>
      </c>
      <c r="H29" s="81"/>
      <c r="I29" s="81"/>
      <c r="J29" s="81"/>
      <c r="K29" s="81"/>
      <c r="L29" s="81"/>
      <c r="M29" s="81"/>
      <c r="N29" s="81"/>
      <c r="O29" s="81"/>
      <c r="P29" s="81"/>
      <c r="S29" s="3" t="s">
        <v>196</v>
      </c>
      <c r="T29" s="3">
        <v>3000</v>
      </c>
      <c r="U29" s="5" t="s">
        <v>45</v>
      </c>
    </row>
    <row r="30" spans="1:34" x14ac:dyDescent="0.45">
      <c r="A30" s="29"/>
      <c r="B30" s="81" t="s">
        <v>206</v>
      </c>
      <c r="C30" s="81" t="s">
        <v>73</v>
      </c>
      <c r="D30" s="81" t="s">
        <v>74</v>
      </c>
      <c r="E30" s="81" t="s">
        <v>208</v>
      </c>
      <c r="F30" s="81" t="s">
        <v>207</v>
      </c>
      <c r="G30" s="81" t="s">
        <v>112</v>
      </c>
      <c r="H30" s="81" t="s">
        <v>113</v>
      </c>
      <c r="I30" s="81" t="s">
        <v>114</v>
      </c>
      <c r="J30" s="81" t="s">
        <v>130</v>
      </c>
      <c r="K30" s="81" t="s">
        <v>15</v>
      </c>
      <c r="L30" s="81" t="s">
        <v>11</v>
      </c>
      <c r="M30" s="81" t="s">
        <v>278</v>
      </c>
      <c r="N30" s="81" t="s">
        <v>224</v>
      </c>
      <c r="O30" s="81" t="s">
        <v>422</v>
      </c>
      <c r="P30" s="81" t="s">
        <v>284</v>
      </c>
      <c r="Q30" s="81"/>
      <c r="S30" s="3" t="s">
        <v>197</v>
      </c>
      <c r="T30" s="3">
        <v>0.25</v>
      </c>
      <c r="U30" s="5" t="s">
        <v>44</v>
      </c>
    </row>
    <row r="31" spans="1:34" x14ac:dyDescent="0.45">
      <c r="A31" s="29"/>
      <c r="B31" s="81" t="s">
        <v>881</v>
      </c>
      <c r="C31" s="81"/>
      <c r="D31" s="81"/>
      <c r="E31" s="81"/>
      <c r="F31" s="81"/>
      <c r="G31" s="81"/>
      <c r="H31" s="81"/>
      <c r="I31" s="81"/>
      <c r="J31" s="81"/>
      <c r="K31" s="81"/>
      <c r="L31" s="81"/>
      <c r="M31" s="81"/>
      <c r="N31" s="81"/>
      <c r="O31" s="81"/>
      <c r="P31" s="81"/>
      <c r="Q31" s="81"/>
      <c r="S31" s="3" t="s">
        <v>198</v>
      </c>
      <c r="T31" s="3">
        <v>7500</v>
      </c>
      <c r="U31" s="5" t="s">
        <v>45</v>
      </c>
    </row>
    <row r="32" spans="1:34" x14ac:dyDescent="0.45">
      <c r="A32" s="29"/>
      <c r="B32" s="146" t="s">
        <v>206</v>
      </c>
      <c r="C32" s="2">
        <v>100</v>
      </c>
      <c r="D32" s="2">
        <v>100</v>
      </c>
      <c r="E32" s="2" t="e" cm="1">
        <f t="array" ref="E32">(pi_2*Tval)-((0.02*pi_2*SIN(Tval*6*pi_2)))*(((1/(1+EXP(X_1-(Zval/Height)*X_2)))*(1/(1+EXP(X_1-(1-(Zval/Height))*X_2))))-(0.5*(SIN((Zval/Height)*0.5*pi_2))^20))</f>
        <v>#NAME?</v>
      </c>
      <c r="F32" s="2" t="e" cm="1">
        <f t="array" ref="F32">30+(20*(0.5-0.5*(COS(Tval*6*pi_2)))^2.5)+(6*(0.5+(0.5*COS(Tval*(Segments/2)*2*PI()))))+(22.5*(SIN(Zval/Height*0.5*pi_2))^1)+(0.5*(SIN(Zval/Height*30*2*PI()))^2)+(((15*(0.5+0.5*(COS((Zval/Height+0.15)*2.3*pi_2)))^1.5)))</f>
        <v>#NAME?</v>
      </c>
      <c r="G32" s="2" t="e" cm="1">
        <f t="array" ref="G32">(LH*Tval)/PreviewFactor</f>
        <v>#NAME?</v>
      </c>
      <c r="H32" s="2">
        <v>0</v>
      </c>
      <c r="I32" s="2" t="e">
        <f>(Height/LH)*PreviewFactor</f>
        <v>#NAME?</v>
      </c>
      <c r="J32" s="2" t="e">
        <f>TotalSegs*PreviewFactor</f>
        <v>#NAME?</v>
      </c>
      <c r="K32" s="2" t="s">
        <v>882</v>
      </c>
      <c r="L32" s="2">
        <f>LH</f>
        <v>0.2</v>
      </c>
      <c r="M32" s="2"/>
      <c r="N32" s="2" t="s">
        <v>883</v>
      </c>
      <c r="O32" s="2"/>
      <c r="P32" s="2"/>
      <c r="Q32" s="2"/>
      <c r="U32" s="89"/>
      <c r="X32" s="29"/>
      <c r="Y32" s="29"/>
      <c r="Z32" s="29"/>
      <c r="AA32" s="29"/>
      <c r="AB32" s="29"/>
      <c r="AC32" s="29"/>
      <c r="AD32" s="29"/>
      <c r="AE32" s="29"/>
      <c r="AF32" s="29"/>
    </row>
    <row r="33" spans="1:40" x14ac:dyDescent="0.45">
      <c r="A33" s="29"/>
      <c r="B33" s="146" t="s">
        <v>1</v>
      </c>
      <c r="C33" s="2" t="s">
        <v>18</v>
      </c>
      <c r="D33" s="2" t="s">
        <v>117</v>
      </c>
      <c r="E33" s="2" t="s">
        <v>117</v>
      </c>
      <c r="F33" s="2" t="s">
        <v>117</v>
      </c>
      <c r="G33" s="2" t="s">
        <v>117</v>
      </c>
      <c r="H33" s="2" t="s">
        <v>117</v>
      </c>
      <c r="I33" s="2" t="s">
        <v>880</v>
      </c>
      <c r="J33" s="2" t="s">
        <v>23</v>
      </c>
      <c r="K33" s="2"/>
      <c r="L33" s="2"/>
      <c r="M33" s="2"/>
      <c r="N33" s="2"/>
      <c r="O33" s="2"/>
      <c r="P33" s="2"/>
      <c r="Q33" s="2"/>
      <c r="S33" s="96" t="s">
        <v>325</v>
      </c>
      <c r="T33" s="96" t="s">
        <v>326</v>
      </c>
      <c r="U33" s="97" t="s">
        <v>364</v>
      </c>
      <c r="X33" s="29"/>
      <c r="Y33" s="29"/>
      <c r="Z33" s="29"/>
      <c r="AA33" s="29"/>
      <c r="AB33" s="29"/>
      <c r="AC33" s="29"/>
      <c r="AD33" s="29"/>
      <c r="AE33" s="29"/>
      <c r="AF33" s="29"/>
    </row>
    <row r="34" spans="1:40" x14ac:dyDescent="0.45">
      <c r="A34" s="29"/>
      <c r="B34" s="81"/>
      <c r="C34" s="81"/>
      <c r="D34" s="81"/>
      <c r="E34" s="81"/>
      <c r="F34" s="81"/>
      <c r="G34" s="81"/>
      <c r="H34" s="81"/>
      <c r="I34" s="81"/>
      <c r="J34" s="81"/>
      <c r="K34" s="81"/>
      <c r="L34" s="81"/>
      <c r="M34" s="81"/>
      <c r="N34" s="81"/>
      <c r="O34" s="81"/>
      <c r="P34" s="81"/>
      <c r="Q34" s="81"/>
      <c r="S34" s="75" t="s">
        <v>884</v>
      </c>
      <c r="T34" s="151">
        <v>0.2</v>
      </c>
      <c r="U34" s="92" t="s">
        <v>44</v>
      </c>
      <c r="W34" s="75">
        <v>0.2</v>
      </c>
      <c r="X34" s="29"/>
      <c r="Y34" s="29"/>
      <c r="Z34" s="29"/>
      <c r="AA34" s="29"/>
      <c r="AB34" s="29"/>
      <c r="AC34" s="29"/>
      <c r="AD34" s="29"/>
      <c r="AE34" s="29"/>
      <c r="AF34" s="29"/>
      <c r="AG34" s="29"/>
      <c r="AH34" s="29"/>
      <c r="AI34" s="29"/>
      <c r="AJ34" s="29"/>
      <c r="AK34" s="29"/>
      <c r="AL34" s="29"/>
      <c r="AM34" s="29"/>
      <c r="AN34" s="29"/>
    </row>
    <row r="35" spans="1:40" x14ac:dyDescent="0.45">
      <c r="A35" s="29"/>
      <c r="B35" s="81" t="s">
        <v>881</v>
      </c>
      <c r="C35" s="81"/>
      <c r="D35" s="81"/>
      <c r="E35" s="81"/>
      <c r="F35" s="81"/>
      <c r="G35" s="81"/>
      <c r="H35" s="81"/>
      <c r="I35" s="81"/>
      <c r="J35" s="81"/>
      <c r="K35" s="81"/>
      <c r="L35" s="81"/>
      <c r="M35" s="81"/>
      <c r="N35" s="81"/>
      <c r="O35" s="81"/>
      <c r="P35" s="81"/>
      <c r="Q35" s="81"/>
      <c r="S35" s="75" t="s">
        <v>885</v>
      </c>
      <c r="T35" s="75">
        <v>0.5</v>
      </c>
      <c r="U35" s="92" t="s">
        <v>44</v>
      </c>
      <c r="W35" s="75">
        <v>0.5</v>
      </c>
      <c r="X35" s="29"/>
      <c r="Y35" s="29"/>
      <c r="Z35" s="29"/>
      <c r="AA35" s="29"/>
      <c r="AB35" s="29"/>
      <c r="AC35" s="29"/>
      <c r="AD35" s="29"/>
      <c r="AE35" s="29"/>
      <c r="AF35" s="29"/>
      <c r="AG35" s="29"/>
      <c r="AH35" s="29"/>
      <c r="AI35" s="29"/>
      <c r="AJ35" s="29"/>
      <c r="AK35" s="29"/>
      <c r="AL35" s="29"/>
      <c r="AM35" s="29"/>
      <c r="AN35" s="29"/>
    </row>
    <row r="36" spans="1:40" x14ac:dyDescent="0.45">
      <c r="A36" s="80"/>
      <c r="B36" s="146" t="s">
        <v>206</v>
      </c>
      <c r="C36" s="2">
        <v>100</v>
      </c>
      <c r="D36" s="2">
        <v>100</v>
      </c>
      <c r="E36" s="2" t="e" cm="1">
        <f t="array" ref="E36">(pi_2*Tval)-((0.02*pi_2*SIN(Tval*6*pi_2)))*(((1/(1+EXP(X_1-(Zval/Height)*X_2)))*(1/(1+EXP(X_1-(1-(Zval/Height))*X_2))))-(0.5*(SIN((Zval/Height)*0.5*pi_2))^20))</f>
        <v>#NAME?</v>
      </c>
      <c r="F36" s="2" t="e" cm="1">
        <f t="array" ref="F36">30+(20*(0.5-0.5*(COS(Tval*6*pi_2)))^2.5)+(6*(0.5+(0.5*COS(Tval*(Segments/2)*2*PI()))))+(((15*(0.5+0.5*(COS((Zval/Height+0.15)*2.3*pi_2)))^1.5)))</f>
        <v>#NAME?</v>
      </c>
      <c r="G36" s="2" t="e" cm="1">
        <f t="array" ref="G36">(LH*Tval)/PreviewFactor</f>
        <v>#NAME?</v>
      </c>
      <c r="H36" s="2">
        <v>0</v>
      </c>
      <c r="I36" s="2" t="e">
        <f>(Height/LH)*PreviewFactor</f>
        <v>#NAME?</v>
      </c>
      <c r="J36" s="2" t="e">
        <f>TotalSegs*PreviewFactor</f>
        <v>#NAME?</v>
      </c>
      <c r="K36" s="2" t="s">
        <v>882</v>
      </c>
      <c r="L36" s="2">
        <f>LH</f>
        <v>0.2</v>
      </c>
      <c r="M36" s="2"/>
      <c r="N36" s="2" t="s">
        <v>883</v>
      </c>
      <c r="O36" s="2"/>
      <c r="P36" s="2"/>
      <c r="Q36" s="2"/>
      <c r="S36" s="75" t="s">
        <v>886</v>
      </c>
      <c r="T36" s="151">
        <f>O48</f>
        <v>300</v>
      </c>
      <c r="U36" s="92" t="s">
        <v>887</v>
      </c>
      <c r="W36" s="75">
        <f>R28</f>
        <v>0</v>
      </c>
      <c r="X36" s="80"/>
      <c r="Y36" s="80"/>
      <c r="Z36" s="80"/>
      <c r="AA36" s="80"/>
      <c r="AB36" s="80"/>
      <c r="AC36" s="80"/>
      <c r="AD36" s="80"/>
      <c r="AE36" s="80"/>
      <c r="AF36" s="80"/>
      <c r="AG36" s="80"/>
      <c r="AH36" s="80"/>
      <c r="AI36" s="80"/>
      <c r="AJ36" s="80"/>
      <c r="AK36" s="80"/>
      <c r="AL36" s="80"/>
      <c r="AM36" s="80"/>
      <c r="AN36" s="80"/>
    </row>
    <row r="37" spans="1:40" x14ac:dyDescent="0.45">
      <c r="A37" s="80"/>
      <c r="B37" s="146" t="s">
        <v>1</v>
      </c>
      <c r="C37" s="2" t="s">
        <v>18</v>
      </c>
      <c r="D37" s="2" t="s">
        <v>117</v>
      </c>
      <c r="E37" s="2" t="s">
        <v>117</v>
      </c>
      <c r="F37" s="2" t="s">
        <v>117</v>
      </c>
      <c r="G37" s="2" t="s">
        <v>117</v>
      </c>
      <c r="H37" s="2" t="s">
        <v>117</v>
      </c>
      <c r="I37" s="2" t="s">
        <v>880</v>
      </c>
      <c r="J37" s="2" t="s">
        <v>23</v>
      </c>
      <c r="K37" s="2"/>
      <c r="L37" s="2"/>
      <c r="M37" s="2"/>
      <c r="N37" s="2"/>
      <c r="O37" s="2"/>
      <c r="P37" s="2"/>
      <c r="Q37" s="2"/>
      <c r="R37" s="81"/>
      <c r="S37" s="75" t="s">
        <v>213</v>
      </c>
      <c r="T37" s="151">
        <f>P48</f>
        <v>150</v>
      </c>
      <c r="U37" s="75" t="s">
        <v>44</v>
      </c>
      <c r="V37" s="81"/>
      <c r="W37" s="75" t="str">
        <f>S28</f>
        <v xml:space="preserve"> - Unretraction (E-value)</v>
      </c>
      <c r="X37" s="80"/>
      <c r="Y37" s="80"/>
      <c r="Z37" s="80"/>
      <c r="AA37" s="80"/>
      <c r="AB37" s="80"/>
      <c r="AC37" s="80"/>
      <c r="AD37" s="80"/>
      <c r="AE37" s="80"/>
      <c r="AF37" s="80"/>
      <c r="AG37" s="80"/>
      <c r="AH37" s="80"/>
      <c r="AI37" s="80"/>
      <c r="AJ37" s="80"/>
      <c r="AK37" s="80"/>
      <c r="AL37" s="80"/>
      <c r="AM37" s="80"/>
      <c r="AN37" s="80"/>
    </row>
    <row r="38" spans="1:40" x14ac:dyDescent="0.45">
      <c r="A38" s="80"/>
      <c r="B38" s="146" t="s">
        <v>279</v>
      </c>
      <c r="C38" s="2">
        <v>5</v>
      </c>
      <c r="D38" s="2" t="s">
        <v>203</v>
      </c>
      <c r="E38" s="2">
        <v>100</v>
      </c>
      <c r="F38" s="2">
        <v>100</v>
      </c>
      <c r="G38" s="2">
        <v>0</v>
      </c>
      <c r="H38" s="2" t="s">
        <v>888</v>
      </c>
      <c r="I38" s="2">
        <v>0</v>
      </c>
      <c r="J38" s="2" t="s">
        <v>136</v>
      </c>
      <c r="K38" s="2" t="s">
        <v>136</v>
      </c>
      <c r="L38" s="2"/>
      <c r="M38" s="2"/>
      <c r="N38" s="2"/>
      <c r="O38" s="2" t="s">
        <v>282</v>
      </c>
      <c r="P38" s="2" t="s">
        <v>285</v>
      </c>
      <c r="Q38" s="2"/>
      <c r="R38" s="81"/>
      <c r="S38" s="75" t="s">
        <v>889</v>
      </c>
      <c r="T38" s="151">
        <f>N48</f>
        <v>0</v>
      </c>
      <c r="U38" s="75" t="s">
        <v>890</v>
      </c>
      <c r="V38" s="81"/>
      <c r="W38" s="75">
        <f>Q48</f>
        <v>0</v>
      </c>
      <c r="X38" s="80"/>
      <c r="Y38" s="80"/>
      <c r="Z38" s="80"/>
      <c r="AA38" s="80"/>
      <c r="AB38" s="80"/>
      <c r="AC38" s="80"/>
      <c r="AD38" s="80"/>
      <c r="AE38" s="80"/>
      <c r="AF38" s="80"/>
      <c r="AG38" s="80"/>
      <c r="AH38" s="80"/>
      <c r="AI38" s="80"/>
      <c r="AJ38" s="80"/>
      <c r="AK38" s="80"/>
      <c r="AL38" s="80"/>
      <c r="AM38" s="80"/>
      <c r="AN38" s="80"/>
    </row>
    <row r="39" spans="1:40" x14ac:dyDescent="0.45">
      <c r="A39" s="80"/>
      <c r="B39" s="81"/>
      <c r="C39" s="81"/>
      <c r="D39" s="81"/>
      <c r="E39" s="81"/>
      <c r="F39" s="81"/>
      <c r="G39" s="81"/>
      <c r="H39" s="81"/>
      <c r="I39" s="81"/>
      <c r="J39" s="81"/>
      <c r="K39" s="81"/>
      <c r="L39" s="81"/>
      <c r="M39" s="81"/>
      <c r="N39" s="81"/>
      <c r="O39" s="81"/>
      <c r="P39" s="81"/>
      <c r="Q39" s="81"/>
      <c r="R39" s="81"/>
      <c r="S39" s="75" t="s">
        <v>891</v>
      </c>
      <c r="T39" s="75">
        <f>2*PI()</f>
        <v>6.2831853071795862</v>
      </c>
      <c r="U39" s="75"/>
      <c r="V39" s="81"/>
      <c r="W39" s="75">
        <f>2*PI()</f>
        <v>6.2831853071795862</v>
      </c>
      <c r="X39" s="80"/>
      <c r="Y39" s="80"/>
      <c r="Z39" s="80"/>
      <c r="AA39" s="80"/>
      <c r="AB39" s="80"/>
      <c r="AC39" s="80"/>
      <c r="AD39" s="80"/>
      <c r="AE39" s="80"/>
      <c r="AF39" s="80"/>
      <c r="AG39" s="80"/>
      <c r="AH39" s="80"/>
      <c r="AI39" s="80"/>
      <c r="AJ39" s="80"/>
      <c r="AK39" s="80"/>
      <c r="AL39" s="80"/>
      <c r="AM39" s="80"/>
      <c r="AN39" s="80"/>
    </row>
    <row r="40" spans="1:40" x14ac:dyDescent="0.45">
      <c r="A40" s="80"/>
      <c r="B40" s="81"/>
      <c r="C40" s="81"/>
      <c r="D40" s="81"/>
      <c r="E40" s="81"/>
      <c r="F40" s="81"/>
      <c r="G40" s="81"/>
      <c r="H40" s="81"/>
      <c r="I40" s="81"/>
      <c r="J40" s="81"/>
      <c r="K40" s="81"/>
      <c r="L40" s="81"/>
      <c r="M40" s="81"/>
      <c r="N40" s="81"/>
      <c r="O40" s="81"/>
      <c r="P40" s="81"/>
      <c r="Q40" s="81"/>
      <c r="R40" s="81"/>
      <c r="S40" s="75" t="s">
        <v>892</v>
      </c>
      <c r="T40" s="75">
        <v>6</v>
      </c>
      <c r="U40" s="75"/>
      <c r="V40" s="81"/>
      <c r="W40" s="75">
        <v>6</v>
      </c>
      <c r="X40" s="80"/>
      <c r="Y40" s="80"/>
      <c r="Z40" s="80"/>
      <c r="AA40" s="80"/>
      <c r="AB40" s="80"/>
      <c r="AC40" s="80"/>
      <c r="AD40" s="80"/>
      <c r="AE40" s="80"/>
      <c r="AF40" s="80"/>
      <c r="AG40" s="80"/>
      <c r="AH40" s="80"/>
      <c r="AI40" s="80"/>
      <c r="AJ40" s="80"/>
      <c r="AK40" s="80"/>
      <c r="AL40" s="80"/>
      <c r="AM40" s="80"/>
      <c r="AN40" s="80"/>
    </row>
    <row r="41" spans="1:40" x14ac:dyDescent="0.45">
      <c r="A41" s="80"/>
      <c r="B41" s="81"/>
      <c r="C41" s="81"/>
      <c r="D41" s="81"/>
      <c r="E41" s="81"/>
      <c r="F41" s="81"/>
      <c r="G41" s="81"/>
      <c r="H41" s="81"/>
      <c r="I41" s="81"/>
      <c r="J41" s="81"/>
      <c r="K41" s="81"/>
      <c r="L41" s="81"/>
      <c r="M41" s="81"/>
      <c r="N41" s="81"/>
      <c r="O41" s="81"/>
      <c r="P41" s="81"/>
      <c r="Q41" s="81"/>
      <c r="R41" s="81"/>
      <c r="S41" s="75" t="s">
        <v>893</v>
      </c>
      <c r="T41" s="75">
        <v>30</v>
      </c>
      <c r="U41" s="75"/>
      <c r="V41" s="81"/>
      <c r="W41" s="75">
        <v>30</v>
      </c>
      <c r="X41" s="80"/>
      <c r="Y41" s="80"/>
      <c r="Z41" s="80"/>
      <c r="AA41" s="80"/>
      <c r="AB41" s="80"/>
      <c r="AC41" s="80"/>
      <c r="AD41" s="80"/>
      <c r="AE41" s="80"/>
      <c r="AF41" s="80"/>
      <c r="AG41" s="80"/>
      <c r="AH41" s="80"/>
      <c r="AI41" s="80"/>
      <c r="AJ41" s="80"/>
      <c r="AK41" s="80"/>
      <c r="AL41" s="80"/>
      <c r="AM41" s="80"/>
      <c r="AN41" s="80"/>
    </row>
    <row r="42" spans="1:40" x14ac:dyDescent="0.45">
      <c r="A42" s="80"/>
      <c r="B42" s="81"/>
      <c r="C42" s="81"/>
      <c r="D42" s="81"/>
      <c r="E42" s="81"/>
      <c r="F42" s="81"/>
      <c r="G42" s="81"/>
      <c r="H42" s="81"/>
      <c r="I42" s="81"/>
      <c r="J42" s="81"/>
      <c r="K42" s="81"/>
      <c r="L42" s="81"/>
      <c r="M42" s="81"/>
      <c r="N42" s="81"/>
      <c r="O42" s="81"/>
      <c r="P42" s="81"/>
      <c r="Q42" s="81"/>
      <c r="R42" s="81"/>
      <c r="S42" s="75" t="s">
        <v>894</v>
      </c>
      <c r="T42" s="75">
        <v>50</v>
      </c>
      <c r="U42" s="75"/>
      <c r="V42" s="81"/>
      <c r="W42" s="75">
        <v>50</v>
      </c>
      <c r="X42" s="80"/>
      <c r="Y42" s="80"/>
      <c r="Z42" s="80"/>
      <c r="AA42" s="80"/>
      <c r="AB42" s="80"/>
      <c r="AC42" s="80"/>
      <c r="AD42" s="80"/>
      <c r="AE42" s="80"/>
      <c r="AF42" s="80"/>
      <c r="AG42" s="80"/>
      <c r="AH42" s="80"/>
      <c r="AI42" s="80"/>
      <c r="AJ42" s="80"/>
      <c r="AK42" s="80"/>
      <c r="AL42" s="80"/>
      <c r="AM42" s="80"/>
      <c r="AN42" s="80"/>
    </row>
    <row r="43" spans="1:40" x14ac:dyDescent="0.45">
      <c r="A43" s="80"/>
      <c r="B43" s="81"/>
      <c r="C43" s="81"/>
      <c r="D43" s="81"/>
      <c r="E43" s="81"/>
      <c r="F43" s="81"/>
      <c r="G43" s="81"/>
      <c r="H43" s="81"/>
      <c r="I43" s="81"/>
      <c r="J43" s="81"/>
      <c r="K43" s="81"/>
      <c r="L43" s="81"/>
      <c r="M43" s="81"/>
      <c r="N43" s="81"/>
      <c r="O43" s="81"/>
      <c r="P43" s="81"/>
      <c r="Q43" s="81"/>
      <c r="R43" s="81"/>
      <c r="S43" s="75" t="s">
        <v>895</v>
      </c>
      <c r="T43" s="75" t="e">
        <f>Segments*(Height/LH)</f>
        <v>#NAME?</v>
      </c>
      <c r="U43" s="75"/>
      <c r="V43" s="81"/>
      <c r="W43" s="75" t="e">
        <f>Segments*(Height/LH)</f>
        <v>#NAME?</v>
      </c>
      <c r="X43" s="80"/>
      <c r="Y43" s="80"/>
      <c r="Z43" s="80"/>
      <c r="AA43" s="80"/>
      <c r="AB43" s="80"/>
      <c r="AC43" s="80"/>
      <c r="AD43" s="80"/>
      <c r="AE43" s="80"/>
      <c r="AF43" s="80"/>
      <c r="AG43" s="80"/>
      <c r="AH43" s="80"/>
      <c r="AI43" s="80"/>
      <c r="AJ43" s="80"/>
      <c r="AK43" s="80"/>
      <c r="AL43" s="80"/>
      <c r="AM43" s="80"/>
      <c r="AN43" s="80"/>
    </row>
    <row r="44" spans="1:40" x14ac:dyDescent="0.45">
      <c r="A44" s="80"/>
      <c r="B44" s="81"/>
      <c r="C44" s="81"/>
      <c r="D44" s="81"/>
      <c r="E44" s="81"/>
      <c r="F44" s="81"/>
      <c r="G44" s="81"/>
      <c r="H44" s="81"/>
      <c r="I44" s="81"/>
      <c r="J44" s="81"/>
      <c r="K44" s="81"/>
      <c r="L44" s="81"/>
      <c r="M44" s="81"/>
      <c r="N44" s="81"/>
      <c r="O44" s="81">
        <v>128</v>
      </c>
      <c r="P44" s="81"/>
      <c r="Q44" s="81"/>
      <c r="R44" s="81"/>
      <c r="S44" s="75" t="s">
        <v>896</v>
      </c>
      <c r="T44" s="75">
        <f>M48</f>
        <v>1</v>
      </c>
      <c r="U44" s="75" t="s">
        <v>897</v>
      </c>
      <c r="V44" s="81"/>
      <c r="W44" s="75">
        <f>P48</f>
        <v>150</v>
      </c>
      <c r="X44" s="80"/>
      <c r="Y44" s="80"/>
      <c r="Z44" s="80"/>
      <c r="AA44" s="80"/>
      <c r="AB44" s="80"/>
      <c r="AC44" s="80"/>
      <c r="AD44" s="80"/>
      <c r="AE44" s="80"/>
      <c r="AF44" s="80"/>
      <c r="AG44" s="80"/>
      <c r="AH44" s="80"/>
      <c r="AI44" s="80"/>
      <c r="AJ44" s="80"/>
      <c r="AK44" s="80"/>
      <c r="AL44" s="80"/>
      <c r="AM44" s="80"/>
      <c r="AN44" s="80"/>
    </row>
    <row r="45" spans="1:40" x14ac:dyDescent="0.45">
      <c r="A45" s="80"/>
      <c r="B45" s="81"/>
      <c r="C45" s="81"/>
      <c r="D45" s="81"/>
      <c r="E45" s="81"/>
      <c r="F45" s="81"/>
      <c r="G45" s="81"/>
      <c r="H45" s="81"/>
      <c r="I45" s="81"/>
      <c r="J45" s="81"/>
      <c r="K45" s="81"/>
      <c r="L45" s="81"/>
      <c r="M45" s="81"/>
      <c r="N45" s="81"/>
      <c r="O45" s="81">
        <v>300</v>
      </c>
      <c r="P45" s="81"/>
      <c r="Q45" s="81"/>
      <c r="R45" s="81"/>
      <c r="S45" s="81" t="s">
        <v>898</v>
      </c>
      <c r="T45" s="81">
        <v>5</v>
      </c>
      <c r="U45" s="81" t="s">
        <v>899</v>
      </c>
      <c r="V45" s="81"/>
      <c r="W45" s="81"/>
      <c r="X45" s="80"/>
      <c r="Y45" s="80"/>
      <c r="Z45" s="80"/>
      <c r="AA45" s="80"/>
      <c r="AB45" s="80"/>
      <c r="AC45" s="80"/>
      <c r="AD45" s="80"/>
      <c r="AE45" s="80"/>
      <c r="AF45" s="80"/>
      <c r="AG45" s="80"/>
      <c r="AH45" s="80"/>
      <c r="AI45" s="80"/>
      <c r="AJ45" s="80"/>
      <c r="AK45" s="80"/>
      <c r="AL45" s="80"/>
      <c r="AM45" s="80"/>
      <c r="AN45" s="80"/>
    </row>
    <row r="46" spans="1:40" x14ac:dyDescent="0.45">
      <c r="A46" s="80"/>
      <c r="B46" s="81"/>
      <c r="C46" s="81"/>
      <c r="D46" s="81"/>
      <c r="E46" s="81"/>
      <c r="F46" s="81"/>
      <c r="G46" s="81"/>
      <c r="H46" s="81"/>
      <c r="I46" s="81"/>
      <c r="J46" s="81"/>
      <c r="K46" s="81"/>
      <c r="L46" s="81"/>
      <c r="M46" s="81"/>
      <c r="N46" s="81"/>
      <c r="O46" s="81"/>
      <c r="P46" s="81"/>
      <c r="R46" s="81"/>
      <c r="S46" s="81" t="s">
        <v>900</v>
      </c>
      <c r="T46" s="81" t="e">
        <f>1/SpeedFactor</f>
        <v>#NAME?</v>
      </c>
      <c r="U46" s="81" t="s">
        <v>901</v>
      </c>
      <c r="V46" s="81"/>
      <c r="W46" s="81"/>
      <c r="X46" s="80"/>
      <c r="Y46" s="80"/>
      <c r="Z46" s="80"/>
      <c r="AA46" s="80"/>
      <c r="AB46" s="80"/>
      <c r="AC46" s="80"/>
      <c r="AD46" s="80"/>
      <c r="AE46" s="80"/>
      <c r="AF46" s="80"/>
      <c r="AG46" s="80"/>
      <c r="AH46" s="80"/>
      <c r="AI46" s="80"/>
      <c r="AJ46" s="80"/>
      <c r="AK46" s="80"/>
      <c r="AL46" s="80"/>
      <c r="AM46" s="80"/>
      <c r="AN46" s="80"/>
    </row>
    <row r="47" spans="1:40" x14ac:dyDescent="0.45">
      <c r="A47" s="80"/>
      <c r="B47" s="81"/>
      <c r="C47" s="81"/>
      <c r="D47" s="81"/>
      <c r="E47" s="81"/>
      <c r="F47" s="81"/>
      <c r="G47" s="81"/>
      <c r="H47" s="81"/>
      <c r="I47" s="81"/>
      <c r="J47" s="81"/>
      <c r="K47" s="81"/>
      <c r="L47" s="81"/>
      <c r="M47" s="152" t="s">
        <v>896</v>
      </c>
      <c r="N47" s="153" t="s">
        <v>889</v>
      </c>
      <c r="O47" s="154" t="s">
        <v>886</v>
      </c>
      <c r="P47" s="155" t="s">
        <v>213</v>
      </c>
      <c r="R47" s="81"/>
      <c r="S47" s="81" t="s">
        <v>902</v>
      </c>
      <c r="T47" s="81">
        <v>0.4</v>
      </c>
      <c r="U47" s="81"/>
      <c r="V47" s="81"/>
      <c r="W47" s="81"/>
      <c r="X47" s="80"/>
      <c r="Y47" s="80"/>
      <c r="Z47" s="80"/>
      <c r="AA47" s="80"/>
      <c r="AB47" s="80"/>
      <c r="AC47" s="80"/>
      <c r="AD47" s="80"/>
      <c r="AE47" s="80"/>
      <c r="AF47" s="80"/>
      <c r="AG47" s="80"/>
      <c r="AH47" s="80"/>
      <c r="AI47" s="80"/>
      <c r="AJ47" s="80"/>
      <c r="AK47" s="80"/>
      <c r="AL47" s="80"/>
      <c r="AM47" s="80"/>
      <c r="AN47" s="80"/>
    </row>
    <row r="48" spans="1:40" x14ac:dyDescent="0.45">
      <c r="A48" s="80"/>
      <c r="B48" s="81"/>
      <c r="M48" s="152">
        <v>1</v>
      </c>
      <c r="N48" s="153">
        <v>0</v>
      </c>
      <c r="O48" s="154">
        <v>300</v>
      </c>
      <c r="P48" s="155">
        <v>150</v>
      </c>
      <c r="R48" s="81"/>
      <c r="S48" s="81" t="s">
        <v>903</v>
      </c>
      <c r="T48" s="81">
        <v>5</v>
      </c>
      <c r="U48" s="81"/>
      <c r="V48" s="81"/>
      <c r="W48" s="81"/>
      <c r="X48" s="80"/>
      <c r="Y48" s="80"/>
      <c r="Z48" s="80"/>
      <c r="AA48" s="80"/>
      <c r="AB48" s="80"/>
      <c r="AC48" s="80"/>
      <c r="AD48" s="80"/>
      <c r="AE48" s="80"/>
      <c r="AF48" s="80"/>
      <c r="AG48" s="80"/>
      <c r="AH48" s="80"/>
      <c r="AI48" s="80"/>
      <c r="AJ48" s="80"/>
      <c r="AK48" s="80"/>
      <c r="AL48" s="80"/>
      <c r="AM48" s="80"/>
      <c r="AN48" s="80"/>
    </row>
    <row r="49" spans="1:46" x14ac:dyDescent="0.45">
      <c r="A49" s="80"/>
      <c r="R49" s="81"/>
      <c r="S49" s="81" t="s">
        <v>331</v>
      </c>
      <c r="T49" s="81">
        <f>Height/LH</f>
        <v>750</v>
      </c>
      <c r="U49" s="81"/>
      <c r="V49" s="81"/>
      <c r="W49" s="81"/>
      <c r="X49" s="80"/>
      <c r="Y49" s="80"/>
      <c r="Z49" s="80"/>
      <c r="AA49" s="80"/>
      <c r="AB49" s="80"/>
      <c r="AC49" s="80"/>
      <c r="AD49" s="80"/>
      <c r="AE49" s="80"/>
      <c r="AF49" s="80"/>
      <c r="AG49" s="80"/>
      <c r="AH49" s="80"/>
      <c r="AI49" s="80"/>
      <c r="AJ49" s="80"/>
      <c r="AK49" s="80"/>
      <c r="AL49" s="80"/>
      <c r="AM49" s="80"/>
      <c r="AN49" s="80"/>
    </row>
    <row r="50" spans="1:46" x14ac:dyDescent="0.45">
      <c r="A50" s="80"/>
      <c r="B50" s="6" t="s">
        <v>904</v>
      </c>
      <c r="C50" s="2">
        <v>100</v>
      </c>
      <c r="D50" s="2">
        <v>100</v>
      </c>
      <c r="E50" s="2" t="e" cm="1">
        <f t="array" ref="E50">(2*PI()*Tval)+(2*PI()*0.166667*(0.5-(0.5*COS((Zval/Height)*2*PI()))))</f>
        <v>#NAME?</v>
      </c>
      <c r="F50" s="2" t="e" cm="1">
        <f t="array" ref="F50">(25+(((12.5*(0.5-0.5*(COS((Tval-(Skew*(Zval/Height)))*6*2*PI())))^2.5))))+(6*(0.5+(0.5*COS(Tval*(Segments/(2*4))*2*PI()))))+(12.5*(SIN((Zval/Height)*0.5*2*PI())))</f>
        <v>#NAME?</v>
      </c>
      <c r="G50" s="2" t="e" cm="1">
        <f t="array" ref="G50">(LH*Tval)/PreviewFactor</f>
        <v>#NAME?</v>
      </c>
      <c r="H50" s="2">
        <v>0</v>
      </c>
      <c r="I50" s="2" t="e">
        <f>(Height/LH)*PreviewFactor</f>
        <v>#NAME?</v>
      </c>
      <c r="J50" s="2" t="e">
        <f>TotalSegs*PreviewFactor</f>
        <v>#NAME?</v>
      </c>
      <c r="K50" s="2" cm="1">
        <f t="array" ref="K50">FW</f>
        <v>0.5</v>
      </c>
      <c r="L50" s="2">
        <f>_xlfn.SINGLE(LH)</f>
        <v>0.2</v>
      </c>
      <c r="N50" s="14">
        <v>0</v>
      </c>
      <c r="O50" s="10">
        <f>(240*0.5)*4</f>
        <v>480</v>
      </c>
      <c r="P50" s="3">
        <v>100</v>
      </c>
      <c r="R50" s="81"/>
      <c r="S50" s="81" t="s">
        <v>902</v>
      </c>
      <c r="T50" s="81">
        <v>1</v>
      </c>
      <c r="U50" s="81"/>
      <c r="V50" s="81"/>
      <c r="W50" s="81"/>
      <c r="X50" s="80"/>
      <c r="Y50" s="80"/>
      <c r="Z50" s="80"/>
      <c r="AA50" s="80"/>
      <c r="AB50" s="80"/>
      <c r="AC50" s="80"/>
      <c r="AD50" s="80"/>
      <c r="AE50" s="80"/>
      <c r="AF50" s="80"/>
      <c r="AG50" s="80"/>
      <c r="AH50" s="80"/>
      <c r="AI50" s="80"/>
      <c r="AJ50" s="80"/>
      <c r="AK50" s="80"/>
      <c r="AL50" s="80"/>
      <c r="AM50" s="80"/>
      <c r="AN50" s="80"/>
    </row>
    <row r="51" spans="1:46" x14ac:dyDescent="0.45">
      <c r="A51" s="80"/>
      <c r="B51" s="6" t="s">
        <v>905</v>
      </c>
      <c r="C51" s="2">
        <v>100</v>
      </c>
      <c r="D51" s="2">
        <v>100</v>
      </c>
      <c r="E51" s="2" t="e" cm="1">
        <f t="array" ref="E51">(2*PI()*Tval)-(2*PI()*0.166667*0.5*((0.5-(0.5*COS((Zval/Height)*1.5*2*PI())))+(Zval/Height)))</f>
        <v>#NAME?</v>
      </c>
      <c r="F51" s="2" t="e" cm="1">
        <f t="array" ref="F51">(25+(((12.5*(0.5-0.5*(COS((Tval-(Skew*(Zval/Height)))*6*2*PI())))^2.5))))+(6*(0.5+(0.5*COS(Tval*(Segments/(2*4))*2*PI()))))+(12.5*(SIN((Zval/Height)*0.5*2*PI())))</f>
        <v>#NAME?</v>
      </c>
      <c r="G51" s="2" t="e" cm="1">
        <f t="array" ref="G51">(LH*Tval)/PreviewFactor</f>
        <v>#NAME?</v>
      </c>
      <c r="H51" s="2">
        <v>0</v>
      </c>
      <c r="I51" s="2" t="e">
        <f>(Height/LH)*PreviewFactor</f>
        <v>#NAME?</v>
      </c>
      <c r="J51" s="2" t="e">
        <f>TotalSegs*PreviewFactor</f>
        <v>#NAME?</v>
      </c>
      <c r="K51" s="2" cm="1">
        <f t="array" ref="K51">FW</f>
        <v>0.5</v>
      </c>
      <c r="L51" s="2">
        <f>_xlfn.SINGLE(LH)</f>
        <v>0.2</v>
      </c>
      <c r="M51" s="156"/>
      <c r="N51" s="14">
        <v>0</v>
      </c>
      <c r="O51" s="10">
        <f>(240*0.5)*4</f>
        <v>480</v>
      </c>
      <c r="P51" s="3">
        <v>100</v>
      </c>
      <c r="R51" s="81"/>
      <c r="S51" s="81" t="s">
        <v>906</v>
      </c>
      <c r="T51" s="81">
        <v>15</v>
      </c>
      <c r="U51" s="81"/>
      <c r="V51" s="81"/>
      <c r="W51" s="81"/>
      <c r="X51" s="80"/>
      <c r="Y51" s="80"/>
      <c r="Z51" s="80"/>
      <c r="AA51" s="80"/>
      <c r="AB51" s="80"/>
      <c r="AC51" s="80"/>
      <c r="AD51" s="80"/>
      <c r="AE51" s="80"/>
      <c r="AF51" s="80"/>
      <c r="AG51" s="80"/>
      <c r="AH51" s="80"/>
      <c r="AI51" s="80"/>
      <c r="AJ51" s="80"/>
      <c r="AK51" s="80"/>
      <c r="AL51" s="80"/>
      <c r="AM51" s="80"/>
      <c r="AN51" s="80"/>
    </row>
    <row r="52" spans="1:46" x14ac:dyDescent="0.45">
      <c r="A52" s="80"/>
      <c r="R52" s="81"/>
      <c r="S52" s="81" t="s">
        <v>907</v>
      </c>
      <c r="T52" s="81">
        <v>56.5</v>
      </c>
      <c r="U52" s="81"/>
      <c r="V52" s="81"/>
      <c r="W52" s="81"/>
      <c r="X52" s="80"/>
      <c r="Y52" s="80"/>
      <c r="Z52" s="80"/>
      <c r="AA52" s="80"/>
      <c r="AB52" s="80"/>
      <c r="AC52" s="80"/>
      <c r="AD52" s="80"/>
      <c r="AE52" s="80"/>
      <c r="AF52" s="80"/>
      <c r="AG52" s="80"/>
      <c r="AH52" s="80"/>
      <c r="AI52" s="80"/>
      <c r="AJ52" s="80"/>
      <c r="AK52" s="80"/>
      <c r="AL52" s="80"/>
      <c r="AM52" s="80"/>
      <c r="AN52" s="80"/>
    </row>
    <row r="53" spans="1:46" x14ac:dyDescent="0.45">
      <c r="A53" s="80"/>
      <c r="B53" s="6" t="s">
        <v>908</v>
      </c>
      <c r="C53" s="2">
        <v>100</v>
      </c>
      <c r="D53" s="2">
        <v>100</v>
      </c>
      <c r="E53" s="2" t="e" cm="1">
        <f t="array" ref="E53">(2*PI()*Tval)</f>
        <v>#NAME?</v>
      </c>
      <c r="F53" s="2" t="e" cm="1">
        <f t="array" ref="F53">25+(((12.5*(0.5-0.5*(COS((Tval-(Skew*(Zval/Height)))*6*2*PI())))^2.5)))+(6*(0.5+(0.5*COS(Tval*(Segments/(2*4))*2*PI()))))+(15*(SIN((Zval/Height)*0.5*2*PI())))+(2*(SIN((Zval/Height)*5.5*2*PI()))^2)</f>
        <v>#NAME?</v>
      </c>
      <c r="G53" s="2" t="e" cm="1">
        <f t="array" ref="G53">(LH*Tval)/PreviewFactor</f>
        <v>#NAME?</v>
      </c>
      <c r="H53" s="2">
        <v>0</v>
      </c>
      <c r="I53" s="2" t="e">
        <f>(Height/LH)*PreviewFactor</f>
        <v>#NAME?</v>
      </c>
      <c r="J53" s="2" t="e">
        <f>TotalSegs*PreviewFactor</f>
        <v>#NAME?</v>
      </c>
      <c r="K53" s="2" cm="1">
        <f t="array" ref="K53">FW</f>
        <v>0.5</v>
      </c>
      <c r="L53" s="2">
        <f>_xlfn.SINGLE(LH)</f>
        <v>0.2</v>
      </c>
      <c r="N53" s="14" t="s">
        <v>909</v>
      </c>
      <c r="O53" s="10">
        <f>(240*0.5)*4</f>
        <v>480</v>
      </c>
      <c r="P53" s="3">
        <v>100</v>
      </c>
      <c r="R53" s="81"/>
      <c r="S53" s="81" t="s">
        <v>910</v>
      </c>
      <c r="T53" s="81">
        <v>2.5</v>
      </c>
      <c r="U53" s="81"/>
      <c r="V53" s="81"/>
      <c r="W53" s="81"/>
      <c r="X53" s="80"/>
      <c r="Y53" s="80"/>
      <c r="Z53" s="80"/>
      <c r="AA53" s="80"/>
      <c r="AB53" s="80"/>
      <c r="AC53" s="80"/>
      <c r="AD53" s="80"/>
      <c r="AE53" s="80"/>
      <c r="AF53" s="80"/>
      <c r="AG53" s="80"/>
      <c r="AH53" s="80"/>
      <c r="AI53" s="80"/>
      <c r="AJ53" s="80"/>
      <c r="AK53" s="80"/>
      <c r="AL53" s="80"/>
      <c r="AM53" s="80"/>
      <c r="AN53" s="80"/>
    </row>
    <row r="54" spans="1:46" x14ac:dyDescent="0.45">
      <c r="A54" s="80"/>
      <c r="B54" s="6" t="s">
        <v>911</v>
      </c>
      <c r="C54" s="2">
        <v>100</v>
      </c>
      <c r="D54" s="2">
        <v>100</v>
      </c>
      <c r="E54" s="2" t="e" cm="1">
        <f t="array" ref="E54">(2*PI()*Tval)</f>
        <v>#NAME?</v>
      </c>
      <c r="F54" s="2" t="e" cm="1">
        <f t="array" ref="F54">25+(6+((12.5*(0.5-0.5*(COS((Tval-(Skew*(Zval/Height)))*6*2*PI())))^2.5)))*(0.5+(0.5*COS(Tval*(Segments/(2*1))*2*PI())))+(15*(SIN((Zval/Height)*0.5*2*PI())))+(2*(SIN((Zval/Height)*5.5*2*PI()))^2)</f>
        <v>#NAME?</v>
      </c>
      <c r="G54" s="2" t="e" cm="1">
        <f t="array" ref="G54">(LH*Tval)/PreviewFactor</f>
        <v>#NAME?</v>
      </c>
      <c r="H54" s="2">
        <v>0</v>
      </c>
      <c r="I54" s="2" t="e">
        <f>(Height/LH)*PreviewFactor</f>
        <v>#NAME?</v>
      </c>
      <c r="J54" s="2" t="e">
        <f>TotalSegs*PreviewFactor</f>
        <v>#NAME?</v>
      </c>
      <c r="K54" s="2" cm="1">
        <f t="array" ref="K54">FW</f>
        <v>0.5</v>
      </c>
      <c r="L54" s="2">
        <f>_xlfn.SINGLE(LH)</f>
        <v>0.2</v>
      </c>
      <c r="N54" s="14" t="s">
        <v>909</v>
      </c>
      <c r="O54" s="10">
        <f>(240*0.5)*1</f>
        <v>120</v>
      </c>
      <c r="P54" s="3">
        <v>100</v>
      </c>
      <c r="R54" s="81"/>
      <c r="S54" s="81" t="s">
        <v>912</v>
      </c>
      <c r="T54" s="81">
        <v>17.600000000000001</v>
      </c>
      <c r="U54" s="81"/>
      <c r="V54" s="81"/>
      <c r="W54" s="81"/>
      <c r="X54" s="80"/>
      <c r="Y54" s="80"/>
      <c r="Z54" s="80"/>
      <c r="AA54" s="80"/>
      <c r="AB54" s="80"/>
      <c r="AC54" s="80"/>
      <c r="AD54" s="80"/>
      <c r="AE54" s="80"/>
      <c r="AF54" s="80"/>
      <c r="AG54" s="80"/>
      <c r="AH54" s="80"/>
      <c r="AI54" s="80"/>
      <c r="AJ54" s="80"/>
      <c r="AK54" s="80"/>
      <c r="AL54" s="80"/>
      <c r="AM54" s="80"/>
      <c r="AN54" s="80"/>
    </row>
    <row r="55" spans="1:46" x14ac:dyDescent="0.45">
      <c r="A55" s="80"/>
      <c r="B55" s="6" t="s">
        <v>913</v>
      </c>
      <c r="C55" s="2">
        <v>100</v>
      </c>
      <c r="D55" s="2">
        <v>100</v>
      </c>
      <c r="E55" s="2" t="e" cm="1">
        <f t="array" ref="E55">(2*PI()*Tval)</f>
        <v>#NAME?</v>
      </c>
      <c r="F55" s="2" t="e" cm="1">
        <f t="array" ref="F55">25+(((12.5*(0.5-0.5*(COS((Tval-(Skew*(Zval/Height)))*6*2*PI())))^2.5)))+(6*(0.5+(0.5*COS(Tval*(Segments/(2*1))*2*PI()))))+(15*(SIN((Zval/Height)*0.5*2*PI())))+(2*(SIN((Zval/Height)*5.5*2*PI()))^2)</f>
        <v>#NAME?</v>
      </c>
      <c r="G55" s="2" t="e" cm="1">
        <f t="array" ref="G55">(LH*Tval)/PreviewFactor</f>
        <v>#NAME?</v>
      </c>
      <c r="H55" s="2">
        <v>0</v>
      </c>
      <c r="I55" s="2" t="e">
        <f>(Height/LH)*PreviewFactor</f>
        <v>#NAME?</v>
      </c>
      <c r="J55" s="2" t="e">
        <f>TotalSegs*PreviewFactor</f>
        <v>#NAME?</v>
      </c>
      <c r="K55" s="2" cm="1">
        <f t="array" ref="K55">FW</f>
        <v>0.5</v>
      </c>
      <c r="L55" s="2">
        <f>_xlfn.SINGLE(LH)</f>
        <v>0.2</v>
      </c>
      <c r="N55" s="14" t="s">
        <v>914</v>
      </c>
      <c r="O55" s="10">
        <v>240</v>
      </c>
      <c r="P55" s="3">
        <v>100</v>
      </c>
      <c r="R55" s="81"/>
      <c r="S55" s="81" t="s">
        <v>915</v>
      </c>
      <c r="T55" s="81">
        <v>20</v>
      </c>
      <c r="U55" s="81"/>
      <c r="V55" s="81"/>
      <c r="W55" s="81"/>
      <c r="X55" s="80"/>
      <c r="Y55" s="80"/>
      <c r="Z55" s="80"/>
      <c r="AA55" s="80"/>
      <c r="AB55" s="80"/>
      <c r="AC55" s="80"/>
      <c r="AD55" s="80"/>
      <c r="AE55" s="80"/>
      <c r="AF55" s="80"/>
      <c r="AG55" s="80"/>
      <c r="AH55" s="80"/>
      <c r="AI55" s="80"/>
      <c r="AJ55" s="80"/>
      <c r="AK55" s="80"/>
      <c r="AL55" s="80"/>
      <c r="AM55" s="80"/>
      <c r="AN55" s="80"/>
    </row>
    <row r="57" spans="1:46" x14ac:dyDescent="0.45">
      <c r="A57" s="58" t="s">
        <v>162</v>
      </c>
      <c r="B57" s="2" t="s">
        <v>954</v>
      </c>
      <c r="C57" s="58" t="s">
        <v>161</v>
      </c>
      <c r="D57" s="2" t="s">
        <v>956</v>
      </c>
      <c r="U57" s="89"/>
      <c r="AO57" t="s">
        <v>163</v>
      </c>
      <c r="AP57" t="s">
        <v>1056</v>
      </c>
      <c r="AQ57" t="s">
        <v>162</v>
      </c>
      <c r="AR57" t="s">
        <v>954</v>
      </c>
      <c r="AS57" t="s">
        <v>161</v>
      </c>
      <c r="AT57" t="s">
        <v>956</v>
      </c>
    </row>
    <row r="58" spans="1:46" x14ac:dyDescent="0.45">
      <c r="A58" s="40" t="s">
        <v>0</v>
      </c>
      <c r="B58" s="2"/>
      <c r="C58" s="2"/>
      <c r="D58" s="2"/>
      <c r="E58" s="2"/>
      <c r="F58" s="2"/>
      <c r="G58" s="2"/>
      <c r="H58" s="2"/>
      <c r="I58" s="2"/>
      <c r="J58" s="2"/>
      <c r="K58" s="2"/>
      <c r="L58" s="2"/>
      <c r="M58" s="2"/>
      <c r="N58" s="2"/>
      <c r="O58" s="2"/>
      <c r="P58" s="2"/>
      <c r="Q58" s="58" t="s">
        <v>322</v>
      </c>
      <c r="U58" s="89"/>
    </row>
    <row r="59" spans="1:46" x14ac:dyDescent="0.45">
      <c r="A59" s="2">
        <v>1</v>
      </c>
      <c r="B59" s="142" t="s">
        <v>1</v>
      </c>
      <c r="C59" s="143" t="s">
        <v>18</v>
      </c>
      <c r="D59" s="143">
        <v>20</v>
      </c>
      <c r="E59" s="143">
        <v>10</v>
      </c>
      <c r="F59" s="143">
        <v>0</v>
      </c>
      <c r="G59" s="143">
        <v>30</v>
      </c>
      <c r="H59" s="143">
        <v>10</v>
      </c>
      <c r="I59" s="143">
        <v>0</v>
      </c>
      <c r="J59" s="143" t="s">
        <v>19</v>
      </c>
      <c r="K59" s="143">
        <f>FW</f>
        <v>0.5</v>
      </c>
      <c r="L59" s="143">
        <f>LH</f>
        <v>0.2</v>
      </c>
      <c r="M59" s="143"/>
      <c r="N59" s="143"/>
      <c r="O59" s="143"/>
      <c r="P59" s="143"/>
      <c r="Q59" s="143" t="s">
        <v>872</v>
      </c>
      <c r="S59" s="95" t="s">
        <v>40</v>
      </c>
      <c r="T59" s="3"/>
      <c r="U59" s="5"/>
    </row>
    <row r="60" spans="1:46" x14ac:dyDescent="0.45">
      <c r="A60" s="2">
        <v>2</v>
      </c>
      <c r="B60" s="142" t="s">
        <v>1</v>
      </c>
      <c r="C60" s="143" t="s">
        <v>18</v>
      </c>
      <c r="D60" s="143" t="s">
        <v>117</v>
      </c>
      <c r="E60" s="143" t="s">
        <v>117</v>
      </c>
      <c r="F60" s="143" t="s">
        <v>117</v>
      </c>
      <c r="G60" s="143">
        <v>175</v>
      </c>
      <c r="H60" s="143" t="s">
        <v>117</v>
      </c>
      <c r="I60" s="144" t="s">
        <v>117</v>
      </c>
      <c r="J60" s="144" t="s">
        <v>19</v>
      </c>
      <c r="K60" s="143">
        <f>FW</f>
        <v>0.5</v>
      </c>
      <c r="L60" s="143">
        <f>LH</f>
        <v>0.2</v>
      </c>
      <c r="M60" s="143"/>
      <c r="N60" s="143"/>
      <c r="O60" s="143"/>
      <c r="P60" s="143"/>
      <c r="Q60" s="143" t="s">
        <v>872</v>
      </c>
      <c r="S60" s="5" t="s">
        <v>115</v>
      </c>
      <c r="T60" s="126">
        <f>LH*0.75</f>
        <v>0.15000000000000002</v>
      </c>
      <c r="U60" s="5" t="s">
        <v>44</v>
      </c>
      <c r="V60" s="126">
        <v>0.15</v>
      </c>
    </row>
    <row r="61" spans="1:46" x14ac:dyDescent="0.45">
      <c r="A61" s="2">
        <v>3</v>
      </c>
      <c r="B61" s="142" t="s">
        <v>1</v>
      </c>
      <c r="C61" s="143" t="s">
        <v>18</v>
      </c>
      <c r="D61" s="143" t="s">
        <v>117</v>
      </c>
      <c r="E61" s="143" t="s">
        <v>117</v>
      </c>
      <c r="F61" s="143" t="s">
        <v>117</v>
      </c>
      <c r="G61" s="143" t="s">
        <v>117</v>
      </c>
      <c r="H61" s="143">
        <v>100</v>
      </c>
      <c r="I61" s="144" t="s">
        <v>117</v>
      </c>
      <c r="J61" s="144" t="s">
        <v>19</v>
      </c>
      <c r="K61" s="143">
        <f>FW</f>
        <v>0.5</v>
      </c>
      <c r="L61" s="143">
        <f>LH</f>
        <v>0.2</v>
      </c>
      <c r="M61" s="143"/>
      <c r="N61" s="143"/>
      <c r="O61" s="143"/>
      <c r="P61" s="143"/>
      <c r="Q61" s="17" t="s">
        <v>872</v>
      </c>
      <c r="S61" s="5" t="s">
        <v>88</v>
      </c>
      <c r="T61" s="5">
        <v>1</v>
      </c>
      <c r="U61" s="5" t="s">
        <v>90</v>
      </c>
    </row>
    <row r="62" spans="1:46" x14ac:dyDescent="0.45">
      <c r="A62" s="2">
        <v>4</v>
      </c>
      <c r="B62" s="146" t="s">
        <v>206</v>
      </c>
      <c r="C62" s="2">
        <v>100</v>
      </c>
      <c r="D62" s="2">
        <v>100</v>
      </c>
      <c r="E62" s="2" t="e" cm="1">
        <f t="array" ref="E62">(pi_2*Tval)-((0.02*pi_2*SIN(Tval*6*pi_2+(pi_2/2))))*(((1/(1+EXP(X_1-(Zval/Height)*X_2)))*(1/(1+EXP(X_1-(1-(Zval/Height))*X_2))))-(0.5*(SIN((Zval/Height)*0.5*pi_2))^20))</f>
        <v>#NAME?</v>
      </c>
      <c r="F62" s="2" t="e" cm="1">
        <f t="array" ref="F62">34+(20*(0.5+0.5*(COS(Tval*6*pi_2)))^2.5)+((0.5-(0.5*COS(Tval*(Segs1/2)*2*PI())))*(1+(5*(0.5+0.5*(COS(Tval*6*pi_2)))^2)))+(((15*(0.5+0.5*(COS((Zval/Height+0.15)*2.3*pi_2)))^1.5)))</f>
        <v>#NAME?</v>
      </c>
      <c r="G62" s="2" t="e" cm="1">
        <f t="array" ref="G62">(LH*Tval)</f>
        <v>#NAME?</v>
      </c>
      <c r="H62" s="2">
        <v>0</v>
      </c>
      <c r="I62" s="2">
        <v>1</v>
      </c>
      <c r="J62" s="2" cm="1">
        <f t="array" ref="J62">Segs1</f>
        <v>300</v>
      </c>
      <c r="K62" s="2" t="s">
        <v>874</v>
      </c>
      <c r="L62" s="2">
        <f>LH</f>
        <v>0.2</v>
      </c>
      <c r="M62" s="2"/>
      <c r="N62" s="2" t="s">
        <v>875</v>
      </c>
      <c r="O62" s="2"/>
      <c r="P62" s="2"/>
      <c r="Q62" s="2" t="s">
        <v>1049</v>
      </c>
      <c r="S62" s="5" t="s">
        <v>89</v>
      </c>
      <c r="T62" s="126">
        <v>0.5</v>
      </c>
      <c r="U62" s="5" t="s">
        <v>90</v>
      </c>
    </row>
    <row r="63" spans="1:46" x14ac:dyDescent="0.45">
      <c r="A63" s="2">
        <v>5</v>
      </c>
      <c r="B63" s="147" t="s">
        <v>205</v>
      </c>
      <c r="C63" s="147" t="e" cm="1">
        <f t="array" ref="C63">100+RadInner+((RadOuter-RadInner)*(1-Tval))</f>
        <v>#NAME?</v>
      </c>
      <c r="D63" s="147" t="e" cm="1">
        <f t="array" ref="D63">100+(FrameLineSpacingRatio*(FrameWidthFactor*FW))+(Amp_1*Tval)*((0.5-0.5*COS((Tval^0.66)*3*pi_2))^1)</f>
        <v>#NAME?</v>
      </c>
      <c r="E63" s="147">
        <v>0</v>
      </c>
      <c r="F63" s="147">
        <v>0</v>
      </c>
      <c r="G63" s="147">
        <v>1</v>
      </c>
      <c r="H63" s="147">
        <f>Segs2</f>
        <v>64</v>
      </c>
      <c r="I63" s="147">
        <f>FW*FrameWidthFactor</f>
        <v>1.25</v>
      </c>
      <c r="J63" s="147">
        <f>LH</f>
        <v>0.2</v>
      </c>
      <c r="K63" s="147"/>
      <c r="L63" s="147">
        <f>NozzleFeedratePrinting/FrameWidthFactor</f>
        <v>400</v>
      </c>
      <c r="M63" s="147"/>
      <c r="N63" s="147"/>
      <c r="O63" s="147"/>
      <c r="P63" s="147"/>
      <c r="Q63" s="147" t="s">
        <v>1050</v>
      </c>
      <c r="S63" s="5" t="s">
        <v>226</v>
      </c>
      <c r="T63" s="5" t="s">
        <v>237</v>
      </c>
      <c r="U63" s="5"/>
      <c r="V63" s="5" t="s">
        <v>237</v>
      </c>
      <c r="W63" s="5" t="s">
        <v>237</v>
      </c>
      <c r="X63" s="5" t="s">
        <v>237</v>
      </c>
      <c r="Y63" s="5" t="s">
        <v>237</v>
      </c>
      <c r="Z63" s="5" t="s">
        <v>237</v>
      </c>
      <c r="AA63" s="5" t="s">
        <v>237</v>
      </c>
      <c r="AB63" s="127" t="s">
        <v>585</v>
      </c>
      <c r="AC63" s="128" t="s">
        <v>626</v>
      </c>
      <c r="AD63" s="5" t="s">
        <v>237</v>
      </c>
      <c r="AE63" s="5" t="s">
        <v>237</v>
      </c>
      <c r="AF63" s="5" t="s">
        <v>237</v>
      </c>
      <c r="AG63" s="5" t="s">
        <v>237</v>
      </c>
      <c r="AH63" s="5" t="s">
        <v>237</v>
      </c>
    </row>
    <row r="64" spans="1:46" x14ac:dyDescent="0.45">
      <c r="A64" s="2">
        <v>6</v>
      </c>
      <c r="B64" s="147" t="s">
        <v>10</v>
      </c>
      <c r="C64" s="147">
        <v>100</v>
      </c>
      <c r="D64" s="147">
        <v>100</v>
      </c>
      <c r="E64" s="147">
        <v>0</v>
      </c>
      <c r="F64" s="147" cm="1">
        <f t="array" ref="F64">RadInner</f>
        <v>15</v>
      </c>
      <c r="G64" s="147">
        <v>0</v>
      </c>
      <c r="H64" s="147">
        <v>30</v>
      </c>
      <c r="I64" s="147" t="s">
        <v>38</v>
      </c>
      <c r="J64" s="147">
        <v>15</v>
      </c>
      <c r="K64" s="147">
        <f>FW*FrameWidthFactor</f>
        <v>1.25</v>
      </c>
      <c r="L64" s="147">
        <f>LH</f>
        <v>0.2</v>
      </c>
      <c r="M64" s="147" t="str">
        <f>"F="&amp;NozzleFeedratePrinting/FrameWidthFactor</f>
        <v>F=400</v>
      </c>
      <c r="N64" s="147"/>
      <c r="O64" s="147"/>
      <c r="P64" s="147"/>
      <c r="Q64" s="147" t="s">
        <v>1051</v>
      </c>
      <c r="S64" s="5" t="s">
        <v>227</v>
      </c>
      <c r="T64" s="5">
        <v>0</v>
      </c>
      <c r="U64" s="5"/>
    </row>
    <row r="65" spans="1:34" x14ac:dyDescent="0.45">
      <c r="A65" s="2">
        <v>7</v>
      </c>
      <c r="B65" s="147" t="s">
        <v>17</v>
      </c>
      <c r="C65" s="147" t="s">
        <v>947</v>
      </c>
      <c r="D65" s="147" t="s">
        <v>2</v>
      </c>
      <c r="E65" s="147">
        <v>100</v>
      </c>
      <c r="F65" s="147">
        <v>100</v>
      </c>
      <c r="G65" s="147">
        <v>30</v>
      </c>
      <c r="H65" s="147"/>
      <c r="I65" s="147"/>
      <c r="J65" s="147"/>
      <c r="K65" s="147"/>
      <c r="L65" s="147"/>
      <c r="M65" s="147"/>
      <c r="N65" s="147"/>
      <c r="O65" s="147"/>
      <c r="P65" s="147"/>
      <c r="Q65" s="147" t="s">
        <v>1046</v>
      </c>
      <c r="S65" s="57"/>
      <c r="T65" s="57"/>
      <c r="U65" s="90"/>
    </row>
    <row r="66" spans="1:34" x14ac:dyDescent="0.45">
      <c r="A66" s="2">
        <v>8</v>
      </c>
      <c r="B66" s="147" t="s">
        <v>54</v>
      </c>
      <c r="C66" s="147" t="s">
        <v>948</v>
      </c>
      <c r="D66" s="147">
        <v>100</v>
      </c>
      <c r="E66" s="147">
        <v>100</v>
      </c>
      <c r="F66" s="147">
        <v>60</v>
      </c>
      <c r="G66" s="147">
        <v>0</v>
      </c>
      <c r="H66" s="147">
        <v>5</v>
      </c>
      <c r="I66" s="147"/>
      <c r="J66" s="147"/>
      <c r="K66" s="147"/>
      <c r="L66" s="147"/>
      <c r="M66" s="147"/>
      <c r="N66" s="147"/>
      <c r="O66" s="147"/>
      <c r="P66" s="147"/>
      <c r="Q66" s="147" t="s">
        <v>1052</v>
      </c>
      <c r="S66" s="5" t="s">
        <v>371</v>
      </c>
      <c r="T66" s="5">
        <v>60</v>
      </c>
      <c r="U66" s="5" t="s">
        <v>43</v>
      </c>
      <c r="X66" s="137">
        <v>60</v>
      </c>
      <c r="Y66" s="124">
        <v>60</v>
      </c>
      <c r="Z66" s="126">
        <v>60</v>
      </c>
      <c r="AA66" s="127">
        <v>60</v>
      </c>
      <c r="AB66" s="127">
        <v>60</v>
      </c>
      <c r="AC66" s="134">
        <v>60</v>
      </c>
      <c r="AD66" s="135">
        <v>60</v>
      </c>
      <c r="AE66" s="136">
        <v>60</v>
      </c>
      <c r="AF66" s="138">
        <v>60</v>
      </c>
      <c r="AG66" s="132">
        <v>60</v>
      </c>
      <c r="AH66" s="139">
        <v>60</v>
      </c>
    </row>
    <row r="67" spans="1:34" x14ac:dyDescent="0.45">
      <c r="A67" s="2">
        <v>9</v>
      </c>
      <c r="B67" s="142" t="s">
        <v>279</v>
      </c>
      <c r="C67" s="142">
        <v>4</v>
      </c>
      <c r="D67" s="142" t="s">
        <v>203</v>
      </c>
      <c r="E67" s="142">
        <v>100</v>
      </c>
      <c r="F67" s="142">
        <v>100</v>
      </c>
      <c r="G67" s="142">
        <v>0</v>
      </c>
      <c r="H67" s="142" t="e" cm="1">
        <f t="array" ref="H67">(Bulge*(SIN(Zval/Height*0.5*pi_2))^1)+(0.5*(SIN(Zval/Height*30*2*PI()))^2)</f>
        <v>#NAME?</v>
      </c>
      <c r="I67" s="142">
        <v>0</v>
      </c>
      <c r="J67" s="142" t="s">
        <v>136</v>
      </c>
      <c r="K67" s="142" t="s">
        <v>136</v>
      </c>
      <c r="L67" s="142"/>
      <c r="M67" s="142"/>
      <c r="N67" s="142"/>
      <c r="O67" s="142"/>
      <c r="P67" s="142"/>
      <c r="Q67" s="142" t="s">
        <v>1053</v>
      </c>
      <c r="S67" s="5" t="s">
        <v>86</v>
      </c>
      <c r="T67" s="5">
        <v>1000</v>
      </c>
      <c r="U67" s="5" t="s">
        <v>45</v>
      </c>
    </row>
    <row r="68" spans="1:34" x14ac:dyDescent="0.45">
      <c r="A68" s="2">
        <v>10</v>
      </c>
      <c r="B68" s="148" t="s">
        <v>279</v>
      </c>
      <c r="C68" s="148" t="s">
        <v>949</v>
      </c>
      <c r="D68" s="148" t="s">
        <v>203</v>
      </c>
      <c r="E68" s="148">
        <v>100</v>
      </c>
      <c r="F68" s="148">
        <v>100</v>
      </c>
      <c r="G68" s="148">
        <v>0</v>
      </c>
      <c r="H68" s="148" t="e" cm="1">
        <f t="array" ref="H68">IF(Rval&gt;=RadOuter,((((15*(0.5+0.5*(COS((Zval/Height+0.15)*2.3*pi_2)))^1.5)))-1)+((Bulge*(SIN(Zval/Height*0.5*pi_2))^1)+(0.5*(SIN(Zval/Height*30*2*PI()))^2)),0)</f>
        <v>#NAME?</v>
      </c>
      <c r="I68" s="148">
        <v>0</v>
      </c>
      <c r="J68" s="148" t="s">
        <v>136</v>
      </c>
      <c r="K68" s="148" t="s">
        <v>136</v>
      </c>
      <c r="L68" s="148"/>
      <c r="M68" s="148"/>
      <c r="N68" s="148"/>
      <c r="O68" s="148"/>
      <c r="P68" s="148"/>
      <c r="Q68" s="148" t="s">
        <v>1047</v>
      </c>
      <c r="S68" s="5" t="s">
        <v>87</v>
      </c>
      <c r="T68" s="5">
        <v>7200</v>
      </c>
      <c r="U68" s="5" t="s">
        <v>45</v>
      </c>
    </row>
    <row r="69" spans="1:34" x14ac:dyDescent="0.45">
      <c r="A69" s="2">
        <v>11</v>
      </c>
      <c r="B69" s="150" t="s">
        <v>298</v>
      </c>
      <c r="C69" s="150" t="s">
        <v>950</v>
      </c>
      <c r="D69" s="150">
        <f>InnerFrameLayers-1</f>
        <v>19</v>
      </c>
      <c r="E69" s="150">
        <v>0</v>
      </c>
      <c r="F69" s="150">
        <v>0</v>
      </c>
      <c r="G69" s="150">
        <f>LH</f>
        <v>0.2</v>
      </c>
      <c r="H69" s="150"/>
      <c r="I69" s="150"/>
      <c r="J69" s="150"/>
      <c r="K69" s="150"/>
      <c r="L69" s="150"/>
      <c r="M69" s="150"/>
      <c r="N69" s="150"/>
      <c r="O69" s="150"/>
      <c r="P69" s="150"/>
      <c r="Q69" s="150" t="s">
        <v>1048</v>
      </c>
      <c r="S69" s="5" t="s">
        <v>41</v>
      </c>
      <c r="T69" s="122">
        <v>210</v>
      </c>
      <c r="U69" s="5" t="s">
        <v>43</v>
      </c>
      <c r="V69" s="122">
        <v>210</v>
      </c>
      <c r="W69" s="123">
        <v>210</v>
      </c>
      <c r="X69" s="137">
        <v>210</v>
      </c>
      <c r="Y69" s="124">
        <v>215</v>
      </c>
      <c r="Z69" s="126">
        <v>220</v>
      </c>
      <c r="AA69" s="127">
        <v>210</v>
      </c>
      <c r="AB69" s="127">
        <v>210</v>
      </c>
      <c r="AC69" s="134">
        <v>210</v>
      </c>
      <c r="AD69" s="135">
        <v>210</v>
      </c>
      <c r="AE69" s="136">
        <v>210</v>
      </c>
      <c r="AF69" s="138">
        <v>210</v>
      </c>
      <c r="AG69" s="132">
        <v>210</v>
      </c>
      <c r="AH69" s="139">
        <v>210</v>
      </c>
    </row>
    <row r="70" spans="1:34" x14ac:dyDescent="0.45">
      <c r="A70" s="2">
        <v>12</v>
      </c>
      <c r="B70" s="146" t="s">
        <v>206</v>
      </c>
      <c r="C70" s="2">
        <v>100</v>
      </c>
      <c r="D70" s="2">
        <v>100</v>
      </c>
      <c r="E70" s="2" t="e" cm="1">
        <f t="array" ref="E70">(pi_2*Tval)-((0.02*pi_2*SIN(Tval*6*pi_2+(pi_2/2))))*(((1/(1+EXP(X_1-(Zval/Height)*X_2)))*(1/(1+EXP(X_1-(1-(Zval/Height))*X_2))))-(0.5*(SIN((Zval/Height)*0.5*pi_2))^20))</f>
        <v>#NAME?</v>
      </c>
      <c r="F70" s="2" t="e" cm="1">
        <f t="array" ref="F70">34+(20*(0.5+0.5*(COS(Tval*6*pi_2)))^2.5)+((0.5-(0.5*COS(Tval*(Segs1/2)*2*PI())))*(1+(5*(0.5+0.5*(COS(Tval*6*pi_2)))^2)))+(((15*(0.5+0.5*(COS((Zval/Height+0.15)*2.3*pi_2)))^1.5)))</f>
        <v>#NAME?</v>
      </c>
      <c r="G70" s="2" t="e" cm="1">
        <f t="array" ref="G70">(LH*Tval)</f>
        <v>#NAME?</v>
      </c>
      <c r="H70" s="2">
        <f>InnerFrameLayers</f>
        <v>20</v>
      </c>
      <c r="I70" s="2">
        <f>(Height/LH)</f>
        <v>750</v>
      </c>
      <c r="J70" s="2" cm="1">
        <f t="array" ref="J70">Segs1*(I70-H70)</f>
        <v>219000</v>
      </c>
      <c r="K70" s="2" t="s">
        <v>874</v>
      </c>
      <c r="L70" s="2">
        <f>LH</f>
        <v>0.2</v>
      </c>
      <c r="M70" s="2"/>
      <c r="N70" s="2" t="s">
        <v>875</v>
      </c>
      <c r="O70" s="2"/>
      <c r="P70" s="2"/>
      <c r="Q70" s="2" t="s">
        <v>1054</v>
      </c>
      <c r="S70" s="5" t="s">
        <v>42</v>
      </c>
      <c r="T70" s="122">
        <v>2.85</v>
      </c>
      <c r="U70" s="5" t="s">
        <v>44</v>
      </c>
      <c r="V70" s="122">
        <v>2.85</v>
      </c>
      <c r="W70" s="123">
        <v>1.75</v>
      </c>
      <c r="X70" s="137">
        <v>1.75</v>
      </c>
      <c r="Y70" s="125">
        <v>1.75</v>
      </c>
      <c r="Z70" s="126">
        <v>1.75</v>
      </c>
      <c r="AA70" s="127">
        <v>1.75</v>
      </c>
      <c r="AB70" s="127">
        <v>1.75</v>
      </c>
      <c r="AC70" s="134">
        <v>1.75</v>
      </c>
      <c r="AD70" s="135">
        <v>1.75</v>
      </c>
      <c r="AE70" s="136">
        <v>1.75</v>
      </c>
      <c r="AF70" s="138">
        <v>1.75</v>
      </c>
      <c r="AG70" s="132">
        <v>2.85</v>
      </c>
      <c r="AH70" s="139">
        <v>1.75</v>
      </c>
    </row>
    <row r="71" spans="1:34" x14ac:dyDescent="0.45">
      <c r="A71" s="2">
        <v>13</v>
      </c>
      <c r="B71" s="142" t="s">
        <v>279</v>
      </c>
      <c r="C71" s="142">
        <v>12</v>
      </c>
      <c r="D71" s="142" t="s">
        <v>203</v>
      </c>
      <c r="E71" s="142">
        <v>100</v>
      </c>
      <c r="F71" s="142">
        <v>100</v>
      </c>
      <c r="G71" s="142">
        <v>0</v>
      </c>
      <c r="H71" s="142" t="e" cm="1">
        <f t="array" ref="H71">(Bulge*(SIN(Zval/Height*0.5*pi_2))^1)+(0.5*(SIN(Zval/Height*30*2*PI()))^2)</f>
        <v>#NAME?</v>
      </c>
      <c r="I71" s="142">
        <v>0</v>
      </c>
      <c r="J71" s="142" t="s">
        <v>136</v>
      </c>
      <c r="K71" s="142" t="s">
        <v>136</v>
      </c>
      <c r="L71" s="142"/>
      <c r="M71" s="142"/>
      <c r="N71" s="142"/>
      <c r="O71" s="142"/>
      <c r="P71" s="142"/>
      <c r="Q71" s="142" t="s">
        <v>1053</v>
      </c>
      <c r="S71" s="5" t="s">
        <v>46</v>
      </c>
      <c r="T71" s="122" t="s">
        <v>82</v>
      </c>
      <c r="U71" s="5" t="s">
        <v>91</v>
      </c>
      <c r="V71" s="122" t="s">
        <v>82</v>
      </c>
      <c r="W71" s="123" t="s">
        <v>44</v>
      </c>
      <c r="X71" s="137" t="s">
        <v>44</v>
      </c>
      <c r="Y71" s="125" t="s">
        <v>44</v>
      </c>
      <c r="Z71" s="126" t="s">
        <v>44</v>
      </c>
      <c r="AA71" s="127" t="s">
        <v>44</v>
      </c>
      <c r="AB71" s="127" t="s">
        <v>44</v>
      </c>
      <c r="AC71" s="134" t="s">
        <v>44</v>
      </c>
      <c r="AD71" s="135" t="s">
        <v>44</v>
      </c>
      <c r="AE71" s="136" t="s">
        <v>44</v>
      </c>
      <c r="AF71" s="138" t="s">
        <v>44</v>
      </c>
      <c r="AG71" s="132" t="s">
        <v>82</v>
      </c>
      <c r="AH71" s="139" t="s">
        <v>44</v>
      </c>
    </row>
    <row r="72" spans="1:34" x14ac:dyDescent="0.45">
      <c r="A72" s="2">
        <v>14</v>
      </c>
      <c r="B72" s="146" t="s">
        <v>1</v>
      </c>
      <c r="C72" s="2" t="s">
        <v>18</v>
      </c>
      <c r="D72" s="2" t="s">
        <v>117</v>
      </c>
      <c r="E72" s="2" t="s">
        <v>117</v>
      </c>
      <c r="F72" s="2" t="s">
        <v>117</v>
      </c>
      <c r="G72" s="2" t="s">
        <v>117</v>
      </c>
      <c r="H72" s="2" t="s">
        <v>117</v>
      </c>
      <c r="I72" s="2" t="s">
        <v>880</v>
      </c>
      <c r="J72" s="2" t="s">
        <v>23</v>
      </c>
      <c r="K72" s="2"/>
      <c r="L72" s="2"/>
      <c r="M72" s="2"/>
      <c r="N72" s="2"/>
      <c r="O72" s="2"/>
      <c r="P72" s="2"/>
      <c r="Q72" s="2" t="s">
        <v>1055</v>
      </c>
      <c r="S72" s="5" t="s">
        <v>125</v>
      </c>
      <c r="T72" s="122" t="s">
        <v>186</v>
      </c>
      <c r="U72" s="5"/>
      <c r="V72" s="122" t="s">
        <v>186</v>
      </c>
      <c r="W72" s="123" t="s">
        <v>451</v>
      </c>
      <c r="X72" s="137" t="s">
        <v>426</v>
      </c>
      <c r="Y72" s="24" t="s">
        <v>544</v>
      </c>
      <c r="Z72" s="126" t="s">
        <v>494</v>
      </c>
      <c r="AA72" s="127" t="s">
        <v>584</v>
      </c>
      <c r="AB72" s="127" t="s">
        <v>585</v>
      </c>
      <c r="AC72" s="134" t="s">
        <v>632</v>
      </c>
      <c r="AD72" s="135" t="s">
        <v>664</v>
      </c>
      <c r="AE72" s="136" t="s">
        <v>727</v>
      </c>
      <c r="AF72" s="138" t="s">
        <v>751</v>
      </c>
      <c r="AG72" s="132" t="s">
        <v>784</v>
      </c>
      <c r="AH72" s="139" t="s">
        <v>813</v>
      </c>
    </row>
    <row r="73" spans="1:34" x14ac:dyDescent="0.45">
      <c r="A73" s="2">
        <v>15</v>
      </c>
      <c r="B73" s="81"/>
      <c r="C73" s="81"/>
      <c r="D73" s="81"/>
      <c r="E73" s="81"/>
      <c r="F73" s="81"/>
      <c r="G73" s="81"/>
      <c r="H73" s="81"/>
      <c r="I73" s="81"/>
      <c r="J73" s="81"/>
      <c r="K73" s="81"/>
      <c r="L73" s="81"/>
      <c r="M73" s="81"/>
      <c r="N73" s="81"/>
      <c r="O73" s="81"/>
      <c r="P73" s="81"/>
      <c r="Q73" s="81"/>
      <c r="S73" s="5" t="s">
        <v>185</v>
      </c>
      <c r="T73" s="122" t="s">
        <v>156</v>
      </c>
      <c r="U73" s="5"/>
      <c r="V73" s="122" t="s">
        <v>156</v>
      </c>
      <c r="W73" s="123" t="s">
        <v>451</v>
      </c>
      <c r="X73" s="137" t="s">
        <v>426</v>
      </c>
      <c r="Y73" s="24" t="s">
        <v>544</v>
      </c>
      <c r="Z73" s="126" t="s">
        <v>494</v>
      </c>
      <c r="AA73" s="127" t="s">
        <v>584</v>
      </c>
      <c r="AB73" s="127" t="s">
        <v>585</v>
      </c>
      <c r="AC73" s="134" t="s">
        <v>632</v>
      </c>
      <c r="AD73" s="135" t="s">
        <v>664</v>
      </c>
      <c r="AE73" s="136" t="s">
        <v>727</v>
      </c>
      <c r="AF73" s="138" t="s">
        <v>751</v>
      </c>
      <c r="AG73" s="132" t="s">
        <v>784</v>
      </c>
      <c r="AH73" s="139" t="s">
        <v>813</v>
      </c>
    </row>
    <row r="74" spans="1:34" x14ac:dyDescent="0.45">
      <c r="A74" s="29"/>
      <c r="B74" s="81"/>
      <c r="C74" s="81"/>
      <c r="D74" s="81"/>
      <c r="E74" s="81"/>
      <c r="F74" s="81"/>
      <c r="G74" s="81"/>
      <c r="H74" s="81"/>
      <c r="I74" s="81"/>
      <c r="J74" s="81"/>
      <c r="K74" s="81"/>
      <c r="L74" s="81"/>
      <c r="M74" s="81"/>
      <c r="N74" s="81"/>
      <c r="O74" s="81"/>
      <c r="P74" s="81"/>
      <c r="Q74" s="81"/>
      <c r="S74" s="5" t="s">
        <v>200</v>
      </c>
      <c r="T74" s="5">
        <v>20</v>
      </c>
      <c r="U74" s="5" t="s">
        <v>44</v>
      </c>
    </row>
    <row r="75" spans="1:34" x14ac:dyDescent="0.45">
      <c r="A75" s="29"/>
      <c r="B75" s="81"/>
      <c r="C75" s="81"/>
      <c r="D75" s="81"/>
      <c r="E75" s="81"/>
      <c r="F75" s="81"/>
      <c r="G75" s="81"/>
      <c r="H75" s="81"/>
      <c r="I75" s="81"/>
      <c r="J75" s="81"/>
      <c r="K75" s="81"/>
      <c r="L75" s="81"/>
      <c r="M75" s="81"/>
      <c r="N75" s="81"/>
      <c r="O75" s="81"/>
      <c r="P75" s="81"/>
      <c r="Q75" s="81"/>
      <c r="S75" s="5" t="s">
        <v>201</v>
      </c>
      <c r="T75" s="5">
        <v>10</v>
      </c>
      <c r="U75" s="5" t="s">
        <v>44</v>
      </c>
    </row>
    <row r="76" spans="1:34" x14ac:dyDescent="0.45">
      <c r="A76" s="29"/>
      <c r="B76" s="81"/>
      <c r="C76" s="81"/>
      <c r="D76" s="81"/>
      <c r="E76" s="81"/>
      <c r="F76" s="81"/>
      <c r="G76" s="81"/>
      <c r="H76" s="81"/>
      <c r="I76" s="81"/>
      <c r="J76" s="81"/>
      <c r="K76" s="81"/>
      <c r="L76" s="81"/>
      <c r="M76" s="81"/>
      <c r="N76" s="81"/>
      <c r="O76" s="81"/>
      <c r="P76" s="81"/>
      <c r="Q76" s="81"/>
      <c r="S76" s="5" t="s">
        <v>202</v>
      </c>
      <c r="T76" s="5">
        <v>0.3</v>
      </c>
      <c r="U76" s="5" t="s">
        <v>44</v>
      </c>
    </row>
    <row r="77" spans="1:34" x14ac:dyDescent="0.45">
      <c r="A77" s="29"/>
      <c r="B77" s="81"/>
      <c r="C77" s="81"/>
      <c r="D77" s="81"/>
      <c r="E77" s="81"/>
      <c r="F77" s="81"/>
      <c r="G77" s="81"/>
      <c r="H77" s="81"/>
      <c r="I77" s="81"/>
      <c r="J77" s="81"/>
      <c r="K77" s="81"/>
      <c r="L77" s="81"/>
      <c r="M77" s="81"/>
      <c r="N77" s="81"/>
      <c r="O77" s="81"/>
      <c r="P77" s="81"/>
      <c r="Q77" s="81"/>
      <c r="S77" s="78" t="s">
        <v>372</v>
      </c>
      <c r="T77" s="5">
        <v>255</v>
      </c>
      <c r="U77" s="5"/>
      <c r="V77" s="1"/>
    </row>
    <row r="78" spans="1:34" x14ac:dyDescent="0.45">
      <c r="A78" s="29"/>
      <c r="B78" s="81"/>
      <c r="C78" s="81"/>
      <c r="D78" s="81"/>
      <c r="E78" s="81"/>
      <c r="F78" s="81"/>
      <c r="G78" s="81"/>
      <c r="H78" s="81"/>
      <c r="I78" s="81"/>
      <c r="J78" s="81"/>
      <c r="K78" s="81"/>
      <c r="L78" s="81"/>
      <c r="M78" s="81"/>
      <c r="N78" s="81"/>
      <c r="O78" s="81"/>
      <c r="P78" s="81"/>
      <c r="Q78" s="81"/>
      <c r="S78" s="5" t="s">
        <v>187</v>
      </c>
      <c r="T78" s="5" t="s">
        <v>199</v>
      </c>
      <c r="U78" s="5" t="s">
        <v>191</v>
      </c>
    </row>
    <row r="79" spans="1:34" x14ac:dyDescent="0.45">
      <c r="A79" s="29"/>
      <c r="B79" s="81"/>
      <c r="C79" s="81"/>
      <c r="D79" s="81"/>
      <c r="E79" s="81"/>
      <c r="F79" s="81"/>
      <c r="G79" s="81"/>
      <c r="H79" s="81"/>
      <c r="I79" s="81"/>
      <c r="J79" s="81"/>
      <c r="K79" s="81"/>
      <c r="L79" s="81"/>
      <c r="M79" s="81"/>
      <c r="N79" s="81"/>
      <c r="O79" s="81"/>
      <c r="P79" s="81"/>
      <c r="Q79" s="81"/>
      <c r="S79" s="5" t="s">
        <v>192</v>
      </c>
      <c r="T79" s="5">
        <v>5</v>
      </c>
      <c r="U79" s="5" t="s">
        <v>44</v>
      </c>
      <c r="V79" s="1"/>
    </row>
    <row r="80" spans="1:34" x14ac:dyDescent="0.45">
      <c r="A80" s="29"/>
      <c r="B80" s="81"/>
      <c r="C80" s="81"/>
      <c r="D80" s="81"/>
      <c r="E80" s="81"/>
      <c r="F80" s="81"/>
      <c r="G80" s="81"/>
      <c r="H80" s="81"/>
      <c r="I80" s="81"/>
      <c r="J80" s="81"/>
      <c r="K80" s="81"/>
      <c r="L80" s="81"/>
      <c r="M80" s="81"/>
      <c r="N80" s="81"/>
      <c r="O80" s="81"/>
      <c r="P80" s="81"/>
      <c r="Q80" s="81"/>
      <c r="S80" s="5" t="s">
        <v>193</v>
      </c>
      <c r="T80" s="5">
        <v>1</v>
      </c>
      <c r="U80" s="5" t="s">
        <v>91</v>
      </c>
    </row>
    <row r="81" spans="1:40" x14ac:dyDescent="0.45">
      <c r="A81" s="29"/>
      <c r="B81" s="81"/>
      <c r="C81" s="81"/>
      <c r="D81" s="81"/>
      <c r="E81" s="81"/>
      <c r="F81" s="81"/>
      <c r="G81" s="81"/>
      <c r="H81" s="81"/>
      <c r="I81" s="81"/>
      <c r="J81" s="81"/>
      <c r="K81" s="81"/>
      <c r="L81" s="81"/>
      <c r="M81" s="81"/>
      <c r="N81" s="81"/>
      <c r="O81" s="81"/>
      <c r="P81" s="81"/>
      <c r="Q81" s="81"/>
      <c r="S81" s="5" t="s">
        <v>194</v>
      </c>
      <c r="T81" s="5">
        <v>3000</v>
      </c>
      <c r="U81" s="5" t="s">
        <v>45</v>
      </c>
    </row>
    <row r="82" spans="1:40" x14ac:dyDescent="0.45">
      <c r="A82" s="29"/>
      <c r="B82" s="81"/>
      <c r="C82" s="81"/>
      <c r="D82" s="81"/>
      <c r="E82" s="81"/>
      <c r="F82" s="81"/>
      <c r="G82" s="81"/>
      <c r="H82" s="81"/>
      <c r="I82" s="81"/>
      <c r="J82" s="81"/>
      <c r="K82" s="81"/>
      <c r="L82" s="81"/>
      <c r="M82" s="81"/>
      <c r="N82" s="81"/>
      <c r="O82" s="81"/>
      <c r="P82" s="81"/>
      <c r="Q82" s="81"/>
      <c r="S82" s="5" t="s">
        <v>195</v>
      </c>
      <c r="T82" s="5">
        <v>-1</v>
      </c>
      <c r="U82" s="5" t="s">
        <v>91</v>
      </c>
    </row>
    <row r="83" spans="1:40" x14ac:dyDescent="0.45">
      <c r="A83" s="29"/>
      <c r="B83" s="81"/>
      <c r="C83" s="81"/>
      <c r="D83" s="81"/>
      <c r="E83" s="81"/>
      <c r="F83" s="81"/>
      <c r="G83" s="81"/>
      <c r="H83" s="81"/>
      <c r="I83" s="81"/>
      <c r="J83" s="81"/>
      <c r="K83" s="81"/>
      <c r="L83" s="81"/>
      <c r="M83" s="81"/>
      <c r="N83" s="81"/>
      <c r="O83" s="81"/>
      <c r="P83" s="81"/>
      <c r="Q83" s="81"/>
      <c r="S83" s="3" t="s">
        <v>196</v>
      </c>
      <c r="T83" s="3">
        <v>3000</v>
      </c>
      <c r="U83" s="5" t="s">
        <v>45</v>
      </c>
    </row>
    <row r="84" spans="1:40" x14ac:dyDescent="0.45">
      <c r="A84" s="29"/>
      <c r="B84" s="81"/>
      <c r="C84" s="81"/>
      <c r="D84" s="81"/>
      <c r="E84" s="81"/>
      <c r="F84" s="81"/>
      <c r="G84" s="81"/>
      <c r="H84" s="81"/>
      <c r="I84" s="81"/>
      <c r="J84" s="81"/>
      <c r="K84" s="81"/>
      <c r="L84" s="81"/>
      <c r="M84" s="81"/>
      <c r="N84" s="81"/>
      <c r="O84" s="81"/>
      <c r="P84" s="81"/>
      <c r="Q84" s="81"/>
      <c r="S84" s="3" t="s">
        <v>197</v>
      </c>
      <c r="T84" s="3">
        <v>0.25</v>
      </c>
      <c r="U84" s="5" t="s">
        <v>44</v>
      </c>
    </row>
    <row r="85" spans="1:40" x14ac:dyDescent="0.45">
      <c r="A85" s="29"/>
      <c r="B85" s="81"/>
      <c r="C85" s="81"/>
      <c r="D85" s="81"/>
      <c r="E85" s="81"/>
      <c r="F85" s="81"/>
      <c r="G85" s="81"/>
      <c r="H85" s="81"/>
      <c r="I85" s="81"/>
      <c r="J85" s="81"/>
      <c r="K85" s="81"/>
      <c r="L85" s="81"/>
      <c r="M85" s="81"/>
      <c r="N85" s="81"/>
      <c r="O85" s="81"/>
      <c r="P85" s="81"/>
      <c r="Q85" s="81"/>
      <c r="S85" s="3" t="s">
        <v>198</v>
      </c>
      <c r="T85" s="3">
        <v>7500</v>
      </c>
      <c r="U85" s="5" t="s">
        <v>45</v>
      </c>
    </row>
    <row r="86" spans="1:40" x14ac:dyDescent="0.45">
      <c r="A86" s="29"/>
      <c r="B86" s="81"/>
      <c r="C86" s="81"/>
      <c r="D86" s="81"/>
      <c r="E86" s="81"/>
      <c r="F86" s="81"/>
      <c r="G86" s="81"/>
      <c r="H86" s="81"/>
      <c r="I86" s="81"/>
      <c r="J86" s="81"/>
      <c r="K86" s="81"/>
      <c r="L86" s="81"/>
      <c r="M86" s="81"/>
      <c r="N86" s="81"/>
      <c r="O86" s="81"/>
      <c r="P86" s="81"/>
      <c r="Q86" s="81"/>
      <c r="U86" s="89"/>
      <c r="W86" s="29"/>
      <c r="X86" s="29"/>
      <c r="Y86" s="29"/>
      <c r="Z86" s="29"/>
      <c r="AA86" s="29"/>
      <c r="AB86" s="29"/>
      <c r="AC86" s="29"/>
      <c r="AD86" s="29"/>
      <c r="AE86" s="29"/>
      <c r="AF86" s="29"/>
    </row>
    <row r="87" spans="1:40" x14ac:dyDescent="0.45">
      <c r="A87" s="29"/>
      <c r="B87" s="81"/>
      <c r="C87" s="81"/>
      <c r="D87" s="81"/>
      <c r="E87" s="81"/>
      <c r="F87" s="81"/>
      <c r="G87" s="81"/>
      <c r="H87" s="81"/>
      <c r="I87" s="81"/>
      <c r="J87" s="81"/>
      <c r="K87" s="81"/>
      <c r="L87" s="81"/>
      <c r="M87" s="81"/>
      <c r="N87" s="81"/>
      <c r="O87" s="81"/>
      <c r="P87" s="81"/>
      <c r="Q87" s="81"/>
      <c r="S87" s="96" t="s">
        <v>325</v>
      </c>
      <c r="T87" s="96" t="s">
        <v>326</v>
      </c>
      <c r="U87" s="97" t="s">
        <v>364</v>
      </c>
      <c r="W87" s="29"/>
      <c r="X87" s="29"/>
      <c r="Y87" s="29"/>
      <c r="Z87" s="29"/>
      <c r="AA87" s="29"/>
      <c r="AB87" s="29"/>
      <c r="AC87" s="29"/>
      <c r="AD87" s="29"/>
      <c r="AE87" s="29"/>
      <c r="AF87" s="29"/>
    </row>
    <row r="88" spans="1:40" x14ac:dyDescent="0.45">
      <c r="A88" s="29"/>
      <c r="B88" s="81"/>
      <c r="C88" s="81"/>
      <c r="D88" s="81"/>
      <c r="E88" s="81"/>
      <c r="F88" s="81"/>
      <c r="G88" s="81"/>
      <c r="H88" s="81"/>
      <c r="I88" s="81"/>
      <c r="J88" s="81"/>
      <c r="K88" s="81"/>
      <c r="L88" s="81"/>
      <c r="M88" s="81"/>
      <c r="N88" s="81"/>
      <c r="O88" s="81"/>
      <c r="P88" s="81"/>
      <c r="Q88" s="81"/>
      <c r="S88" s="75" t="s">
        <v>884</v>
      </c>
      <c r="T88" s="75">
        <v>0.2</v>
      </c>
      <c r="U88" s="92" t="s">
        <v>44</v>
      </c>
      <c r="W88" s="29"/>
      <c r="X88" s="29"/>
      <c r="Y88" s="29"/>
      <c r="Z88" s="29"/>
      <c r="AA88" s="29"/>
      <c r="AB88" s="29"/>
      <c r="AC88" s="29"/>
      <c r="AD88" s="29"/>
      <c r="AE88" s="29"/>
      <c r="AF88" s="29"/>
      <c r="AG88" s="29"/>
      <c r="AH88" s="29"/>
      <c r="AI88" s="29"/>
      <c r="AJ88" s="29"/>
      <c r="AK88" s="29"/>
      <c r="AL88" s="29"/>
      <c r="AM88" s="29"/>
      <c r="AN88" s="29"/>
    </row>
    <row r="89" spans="1:40" x14ac:dyDescent="0.45">
      <c r="A89" s="29"/>
      <c r="B89" s="81"/>
      <c r="C89" s="81"/>
      <c r="D89" s="81"/>
      <c r="E89" s="81"/>
      <c r="F89" s="81"/>
      <c r="G89" s="81"/>
      <c r="H89" s="81"/>
      <c r="I89" s="81"/>
      <c r="J89" s="81"/>
      <c r="K89" s="81"/>
      <c r="L89" s="81"/>
      <c r="M89" s="81"/>
      <c r="N89" s="81"/>
      <c r="O89" s="81"/>
      <c r="P89" s="81"/>
      <c r="Q89" s="81"/>
      <c r="S89" s="75" t="s">
        <v>885</v>
      </c>
      <c r="T89" s="75">
        <v>0.5</v>
      </c>
      <c r="U89" s="92" t="s">
        <v>44</v>
      </c>
      <c r="W89" s="29"/>
      <c r="X89" s="29"/>
      <c r="Y89" s="29"/>
      <c r="Z89" s="29"/>
      <c r="AA89" s="29"/>
      <c r="AB89" s="29"/>
      <c r="AC89" s="29"/>
      <c r="AD89" s="29"/>
      <c r="AE89" s="29"/>
      <c r="AF89" s="29"/>
      <c r="AG89" s="29"/>
      <c r="AH89" s="29"/>
      <c r="AI89" s="29"/>
      <c r="AJ89" s="29"/>
      <c r="AK89" s="29"/>
      <c r="AL89" s="29"/>
      <c r="AM89" s="29"/>
      <c r="AN89" s="29"/>
    </row>
    <row r="90" spans="1:40" x14ac:dyDescent="0.45">
      <c r="A90" s="80"/>
      <c r="B90" s="81"/>
      <c r="C90" s="81"/>
      <c r="D90" s="81"/>
      <c r="E90" s="81"/>
      <c r="F90" s="81"/>
      <c r="G90" s="81"/>
      <c r="H90" s="81"/>
      <c r="I90" s="81"/>
      <c r="J90" s="81"/>
      <c r="K90" s="81"/>
      <c r="L90" s="81"/>
      <c r="M90" s="81"/>
      <c r="N90" s="81"/>
      <c r="O90" s="81"/>
      <c r="P90" s="81"/>
      <c r="Q90" s="81"/>
      <c r="S90" s="75" t="s">
        <v>957</v>
      </c>
      <c r="T90" s="75">
        <v>300</v>
      </c>
      <c r="U90" s="92" t="s">
        <v>959</v>
      </c>
      <c r="W90" s="80"/>
      <c r="X90" s="80"/>
      <c r="Y90" s="80"/>
      <c r="Z90" s="80"/>
      <c r="AA90" s="80"/>
      <c r="AB90" s="80"/>
      <c r="AC90" s="80"/>
      <c r="AD90" s="80"/>
      <c r="AE90" s="80"/>
      <c r="AF90" s="80"/>
      <c r="AG90" s="80"/>
      <c r="AH90" s="80"/>
      <c r="AI90" s="80"/>
      <c r="AJ90" s="80"/>
      <c r="AK90" s="80"/>
      <c r="AL90" s="80"/>
      <c r="AM90" s="80"/>
      <c r="AN90" s="80"/>
    </row>
    <row r="91" spans="1:40" x14ac:dyDescent="0.45">
      <c r="A91" s="80"/>
      <c r="B91" s="81"/>
      <c r="C91" s="81"/>
      <c r="D91" s="81"/>
      <c r="E91" s="81"/>
      <c r="F91" s="81"/>
      <c r="G91" s="81"/>
      <c r="H91" s="81"/>
      <c r="I91" s="81"/>
      <c r="J91" s="81"/>
      <c r="K91" s="81"/>
      <c r="L91" s="81"/>
      <c r="M91" s="81"/>
      <c r="N91" s="81"/>
      <c r="O91" s="81"/>
      <c r="P91" s="81"/>
      <c r="Q91" s="81"/>
      <c r="R91" s="81"/>
      <c r="S91" s="75" t="s">
        <v>958</v>
      </c>
      <c r="T91" s="75">
        <v>64</v>
      </c>
      <c r="U91" s="92" t="s">
        <v>960</v>
      </c>
      <c r="V91" s="81"/>
      <c r="W91" s="80"/>
      <c r="X91" s="80"/>
      <c r="Y91" s="80"/>
      <c r="Z91" s="80"/>
      <c r="AA91" s="80"/>
      <c r="AB91" s="80"/>
      <c r="AC91" s="80"/>
      <c r="AD91" s="80"/>
      <c r="AE91" s="80"/>
      <c r="AF91" s="80"/>
      <c r="AG91" s="80"/>
      <c r="AH91" s="80"/>
      <c r="AI91" s="80"/>
      <c r="AJ91" s="80"/>
      <c r="AK91" s="80"/>
      <c r="AL91" s="80"/>
      <c r="AM91" s="80"/>
      <c r="AN91" s="80"/>
    </row>
    <row r="92" spans="1:40" x14ac:dyDescent="0.45">
      <c r="A92" s="80"/>
      <c r="B92" s="81"/>
      <c r="C92" s="81"/>
      <c r="D92" s="81"/>
      <c r="E92" s="81"/>
      <c r="F92" s="81"/>
      <c r="G92" s="81"/>
      <c r="H92" s="81"/>
      <c r="I92" s="81"/>
      <c r="J92" s="81"/>
      <c r="K92" s="81"/>
      <c r="L92" s="81"/>
      <c r="M92" s="81"/>
      <c r="N92" s="81"/>
      <c r="O92" s="81"/>
      <c r="P92" s="81"/>
      <c r="Q92" s="81"/>
      <c r="R92" s="81"/>
      <c r="S92" s="75" t="s">
        <v>213</v>
      </c>
      <c r="T92" s="75">
        <v>150</v>
      </c>
      <c r="U92" s="75" t="s">
        <v>44</v>
      </c>
      <c r="V92" s="81"/>
      <c r="W92" s="80"/>
      <c r="X92" s="80"/>
      <c r="Y92" s="80"/>
      <c r="Z92" s="80"/>
      <c r="AA92" s="80"/>
      <c r="AB92" s="80"/>
      <c r="AC92" s="80"/>
      <c r="AD92" s="80"/>
      <c r="AE92" s="80"/>
      <c r="AF92" s="80"/>
      <c r="AG92" s="80"/>
      <c r="AH92" s="80"/>
      <c r="AI92" s="80"/>
      <c r="AJ92" s="80"/>
      <c r="AK92" s="80"/>
      <c r="AL92" s="80"/>
      <c r="AM92" s="80"/>
      <c r="AN92" s="80"/>
    </row>
    <row r="93" spans="1:40" x14ac:dyDescent="0.45">
      <c r="A93" s="80"/>
      <c r="B93" s="81"/>
      <c r="C93" s="81"/>
      <c r="D93" s="81"/>
      <c r="E93" s="81"/>
      <c r="F93" s="81"/>
      <c r="G93" s="81"/>
      <c r="H93" s="81"/>
      <c r="I93" s="81"/>
      <c r="J93" s="81"/>
      <c r="K93" s="81"/>
      <c r="L93" s="81"/>
      <c r="M93" s="81"/>
      <c r="N93" s="81"/>
      <c r="O93" s="81"/>
      <c r="P93" s="81"/>
      <c r="Q93" s="81"/>
      <c r="R93" s="81"/>
      <c r="S93" s="75" t="s">
        <v>891</v>
      </c>
      <c r="T93" s="75">
        <f>2*PI()</f>
        <v>6.2831853071795862</v>
      </c>
      <c r="U93" s="75"/>
      <c r="V93" s="81"/>
      <c r="W93" s="80"/>
      <c r="X93" s="80"/>
      <c r="Y93" s="80"/>
      <c r="Z93" s="80"/>
      <c r="AA93" s="80"/>
      <c r="AB93" s="80"/>
      <c r="AC93" s="80"/>
      <c r="AD93" s="80"/>
      <c r="AE93" s="80"/>
      <c r="AF93" s="80"/>
      <c r="AG93" s="80"/>
      <c r="AH93" s="80"/>
      <c r="AI93" s="80"/>
      <c r="AJ93" s="80"/>
      <c r="AK93" s="80"/>
      <c r="AL93" s="80"/>
      <c r="AM93" s="80"/>
      <c r="AN93" s="80"/>
    </row>
    <row r="94" spans="1:40" x14ac:dyDescent="0.45">
      <c r="A94" s="80"/>
      <c r="B94" s="81"/>
      <c r="C94" s="81"/>
      <c r="D94" s="81"/>
      <c r="E94" s="81"/>
      <c r="F94" s="81"/>
      <c r="G94" s="81"/>
      <c r="H94" s="81"/>
      <c r="I94" s="81"/>
      <c r="J94" s="81"/>
      <c r="K94" s="81"/>
      <c r="L94" s="81"/>
      <c r="M94" s="81"/>
      <c r="N94" s="81"/>
      <c r="O94" s="81"/>
      <c r="P94" s="81"/>
      <c r="Q94" s="81"/>
      <c r="R94" s="81"/>
      <c r="S94" s="75" t="s">
        <v>892</v>
      </c>
      <c r="T94" s="75">
        <v>6</v>
      </c>
      <c r="U94" s="75"/>
      <c r="V94" s="81"/>
      <c r="W94" s="80"/>
      <c r="X94" s="80"/>
      <c r="Y94" s="80"/>
      <c r="Z94" s="80"/>
      <c r="AA94" s="80"/>
      <c r="AB94" s="80"/>
      <c r="AC94" s="80"/>
      <c r="AD94" s="80"/>
      <c r="AE94" s="80"/>
      <c r="AF94" s="80"/>
      <c r="AG94" s="80"/>
      <c r="AH94" s="80"/>
      <c r="AI94" s="80"/>
      <c r="AJ94" s="80"/>
      <c r="AK94" s="80"/>
      <c r="AL94" s="80"/>
      <c r="AM94" s="80"/>
      <c r="AN94" s="80"/>
    </row>
    <row r="95" spans="1:40" x14ac:dyDescent="0.45">
      <c r="A95" s="80"/>
      <c r="B95" s="81"/>
      <c r="C95" s="81"/>
      <c r="D95" s="81"/>
      <c r="E95" s="81"/>
      <c r="F95" s="81"/>
      <c r="G95" s="81"/>
      <c r="H95" s="81"/>
      <c r="I95" s="81"/>
      <c r="J95" s="81"/>
      <c r="K95" s="81"/>
      <c r="L95" s="81"/>
      <c r="M95" s="81"/>
      <c r="N95" s="81"/>
      <c r="O95" s="81"/>
      <c r="P95" s="81"/>
      <c r="Q95" s="81"/>
      <c r="R95" s="81"/>
      <c r="S95" s="75" t="s">
        <v>893</v>
      </c>
      <c r="T95" s="75">
        <v>30</v>
      </c>
      <c r="U95" s="75"/>
      <c r="V95" s="81"/>
      <c r="W95" s="80"/>
      <c r="X95" s="80"/>
      <c r="Y95" s="80"/>
      <c r="Z95" s="80"/>
      <c r="AA95" s="80"/>
      <c r="AB95" s="80"/>
      <c r="AC95" s="80"/>
      <c r="AD95" s="80"/>
      <c r="AE95" s="80"/>
      <c r="AF95" s="80"/>
      <c r="AG95" s="80"/>
      <c r="AH95" s="80"/>
      <c r="AI95" s="80"/>
      <c r="AJ95" s="80"/>
      <c r="AK95" s="80"/>
      <c r="AL95" s="80"/>
      <c r="AM95" s="80"/>
      <c r="AN95" s="80"/>
    </row>
    <row r="96" spans="1:40" x14ac:dyDescent="0.45">
      <c r="A96" s="80"/>
      <c r="B96" s="81"/>
      <c r="C96" s="81"/>
      <c r="D96" s="81"/>
      <c r="E96" s="81"/>
      <c r="F96" s="81"/>
      <c r="G96" s="81"/>
      <c r="H96" s="81"/>
      <c r="I96" s="81"/>
      <c r="J96" s="81"/>
      <c r="K96" s="81"/>
      <c r="L96" s="81"/>
      <c r="M96" s="81"/>
      <c r="N96" s="81"/>
      <c r="O96" s="81"/>
      <c r="P96" s="81"/>
      <c r="Q96" s="81"/>
      <c r="R96" s="81"/>
      <c r="S96" s="75" t="s">
        <v>894</v>
      </c>
      <c r="T96" s="75">
        <v>50</v>
      </c>
      <c r="U96" s="75"/>
      <c r="V96" s="81"/>
      <c r="W96" s="80"/>
      <c r="X96" s="80"/>
      <c r="Y96" s="80"/>
      <c r="Z96" s="80"/>
      <c r="AA96" s="80"/>
      <c r="AB96" s="80"/>
      <c r="AC96" s="80"/>
      <c r="AD96" s="80"/>
      <c r="AE96" s="80"/>
      <c r="AF96" s="80"/>
      <c r="AG96" s="80"/>
      <c r="AH96" s="80"/>
      <c r="AI96" s="80"/>
      <c r="AJ96" s="80"/>
      <c r="AK96" s="80"/>
      <c r="AL96" s="80"/>
      <c r="AM96" s="80"/>
      <c r="AN96" s="80"/>
    </row>
    <row r="97" spans="1:46" x14ac:dyDescent="0.45">
      <c r="A97" s="80"/>
      <c r="B97" s="81"/>
      <c r="C97" s="81"/>
      <c r="D97" s="81"/>
      <c r="E97" s="81"/>
      <c r="F97" s="81"/>
      <c r="G97" s="81"/>
      <c r="H97" s="81"/>
      <c r="I97" s="81"/>
      <c r="J97" s="81"/>
      <c r="K97" s="81"/>
      <c r="L97" s="81"/>
      <c r="M97" s="81"/>
      <c r="N97" s="81"/>
      <c r="O97" s="81"/>
      <c r="P97" s="81"/>
      <c r="Q97" s="81"/>
      <c r="R97" s="81"/>
      <c r="S97" s="75" t="s">
        <v>895</v>
      </c>
      <c r="T97" s="75" cm="1">
        <f t="array" ref="T97">Segs1*(Height/LH)</f>
        <v>225000</v>
      </c>
      <c r="U97" s="75"/>
      <c r="V97" s="81"/>
      <c r="W97" s="80"/>
      <c r="X97" s="80"/>
      <c r="Y97" s="80"/>
      <c r="Z97" s="80"/>
      <c r="AA97" s="80"/>
      <c r="AB97" s="80"/>
      <c r="AC97" s="80"/>
      <c r="AD97" s="80"/>
      <c r="AE97" s="80"/>
      <c r="AF97" s="80"/>
      <c r="AG97" s="80"/>
      <c r="AH97" s="80"/>
      <c r="AI97" s="80"/>
      <c r="AJ97" s="80"/>
      <c r="AK97" s="80"/>
      <c r="AL97" s="80"/>
      <c r="AM97" s="80"/>
      <c r="AN97" s="80"/>
    </row>
    <row r="98" spans="1:46" x14ac:dyDescent="0.45">
      <c r="A98" s="80"/>
      <c r="B98" s="81"/>
      <c r="C98" s="81"/>
      <c r="D98" s="81"/>
      <c r="E98" s="81"/>
      <c r="F98" s="81"/>
      <c r="G98" s="81"/>
      <c r="H98" s="81"/>
      <c r="I98" s="81"/>
      <c r="J98" s="81"/>
      <c r="K98" s="81"/>
      <c r="L98" s="81"/>
      <c r="M98" s="81"/>
      <c r="N98" s="81"/>
      <c r="O98" s="81"/>
      <c r="P98" s="81"/>
      <c r="Q98" s="81"/>
      <c r="R98" s="81"/>
      <c r="S98" s="75" t="s">
        <v>902</v>
      </c>
      <c r="T98" s="75">
        <v>0.4</v>
      </c>
      <c r="U98" s="75"/>
      <c r="V98" s="81"/>
      <c r="W98" s="80"/>
      <c r="X98" s="80"/>
      <c r="Y98" s="80"/>
      <c r="Z98" s="80"/>
      <c r="AA98" s="80"/>
      <c r="AB98" s="80"/>
      <c r="AC98" s="80"/>
      <c r="AD98" s="80"/>
      <c r="AE98" s="80"/>
      <c r="AF98" s="80"/>
      <c r="AG98" s="80"/>
      <c r="AH98" s="80"/>
      <c r="AI98" s="80"/>
      <c r="AJ98" s="80"/>
      <c r="AK98" s="80"/>
      <c r="AL98" s="80"/>
      <c r="AM98" s="80"/>
      <c r="AN98" s="80"/>
    </row>
    <row r="99" spans="1:46" x14ac:dyDescent="0.45">
      <c r="A99" s="80"/>
      <c r="B99" s="81"/>
      <c r="C99" s="81"/>
      <c r="D99" s="81"/>
      <c r="E99" s="81"/>
      <c r="F99" s="81"/>
      <c r="G99" s="81"/>
      <c r="H99" s="81"/>
      <c r="I99" s="81"/>
      <c r="J99" s="81"/>
      <c r="K99" s="81"/>
      <c r="L99" s="81"/>
      <c r="M99" s="81"/>
      <c r="N99" s="81"/>
      <c r="O99" s="81"/>
      <c r="P99" s="81"/>
      <c r="Q99" s="81"/>
      <c r="R99" s="81"/>
      <c r="S99" s="75" t="s">
        <v>903</v>
      </c>
      <c r="T99" s="75">
        <v>5</v>
      </c>
      <c r="U99" s="75" t="s">
        <v>44</v>
      </c>
      <c r="V99" s="81"/>
      <c r="W99" s="81"/>
      <c r="X99" s="80"/>
      <c r="Y99" s="80"/>
      <c r="Z99" s="80"/>
      <c r="AA99" s="80"/>
      <c r="AB99" s="80"/>
      <c r="AC99" s="80"/>
      <c r="AD99" s="80"/>
      <c r="AE99" s="80"/>
      <c r="AF99" s="80"/>
      <c r="AG99" s="80"/>
      <c r="AH99" s="80"/>
      <c r="AI99" s="80"/>
      <c r="AJ99" s="80"/>
      <c r="AK99" s="80"/>
      <c r="AL99" s="80"/>
      <c r="AM99" s="80"/>
      <c r="AN99" s="80"/>
    </row>
    <row r="100" spans="1:46" x14ac:dyDescent="0.45">
      <c r="A100" s="80"/>
      <c r="B100" s="81"/>
      <c r="C100" s="81"/>
      <c r="D100" s="81"/>
      <c r="E100" s="81"/>
      <c r="F100" s="81"/>
      <c r="G100" s="81"/>
      <c r="H100" s="81"/>
      <c r="I100" s="81"/>
      <c r="J100" s="81"/>
      <c r="K100" s="81"/>
      <c r="L100" s="81"/>
      <c r="M100" s="81"/>
      <c r="N100" s="81"/>
      <c r="O100" s="81"/>
      <c r="P100" s="81"/>
      <c r="Q100" s="81"/>
      <c r="R100" s="81"/>
      <c r="S100" s="75" t="s">
        <v>331</v>
      </c>
      <c r="T100" s="75">
        <f>Height/LH</f>
        <v>750</v>
      </c>
      <c r="U100" s="75"/>
      <c r="V100" s="81"/>
      <c r="W100" s="81"/>
      <c r="X100" s="80"/>
      <c r="Y100" s="80"/>
      <c r="Z100" s="80"/>
      <c r="AA100" s="80"/>
      <c r="AB100" s="80"/>
      <c r="AC100" s="80"/>
      <c r="AD100" s="80"/>
      <c r="AE100" s="80"/>
      <c r="AF100" s="80"/>
      <c r="AG100" s="80"/>
      <c r="AH100" s="80"/>
      <c r="AI100" s="80"/>
      <c r="AJ100" s="80"/>
      <c r="AK100" s="80"/>
      <c r="AL100" s="80"/>
      <c r="AM100" s="80"/>
      <c r="AN100" s="80"/>
    </row>
    <row r="101" spans="1:46" x14ac:dyDescent="0.45">
      <c r="A101" s="80"/>
      <c r="B101" s="81"/>
      <c r="C101" s="81"/>
      <c r="D101" s="81"/>
      <c r="E101" s="81"/>
      <c r="F101" s="81"/>
      <c r="G101" s="81"/>
      <c r="H101" s="81"/>
      <c r="I101" s="81"/>
      <c r="J101" s="81"/>
      <c r="K101" s="81"/>
      <c r="L101" s="81"/>
      <c r="M101" s="81"/>
      <c r="N101" s="81"/>
      <c r="O101" s="81"/>
      <c r="P101" s="81"/>
      <c r="Q101" s="81"/>
      <c r="R101" s="81"/>
      <c r="S101" s="75" t="s">
        <v>902</v>
      </c>
      <c r="T101" s="75">
        <v>1</v>
      </c>
      <c r="U101" s="75"/>
      <c r="V101" s="81"/>
      <c r="W101" s="81"/>
      <c r="X101" s="80"/>
      <c r="Y101" s="80"/>
      <c r="Z101" s="80"/>
      <c r="AA101" s="80"/>
      <c r="AB101" s="80"/>
      <c r="AC101" s="80"/>
      <c r="AD101" s="80"/>
      <c r="AE101" s="80"/>
      <c r="AF101" s="80"/>
      <c r="AG101" s="80"/>
      <c r="AH101" s="80"/>
      <c r="AI101" s="80"/>
      <c r="AJ101" s="80"/>
      <c r="AK101" s="80"/>
      <c r="AL101" s="80"/>
      <c r="AM101" s="80"/>
      <c r="AN101" s="80"/>
    </row>
    <row r="102" spans="1:46" x14ac:dyDescent="0.45">
      <c r="A102" s="80"/>
      <c r="B102" s="81"/>
      <c r="C102" s="81"/>
      <c r="D102" s="81"/>
      <c r="E102" s="81"/>
      <c r="F102" s="81"/>
      <c r="G102" s="81"/>
      <c r="H102" s="81"/>
      <c r="I102" s="81"/>
      <c r="J102" s="81"/>
      <c r="K102" s="81"/>
      <c r="L102" s="81"/>
      <c r="M102" s="81"/>
      <c r="N102" s="81"/>
      <c r="O102" s="81"/>
      <c r="P102" s="81"/>
      <c r="Q102" s="81"/>
      <c r="R102" s="81"/>
      <c r="S102" s="75" t="s">
        <v>906</v>
      </c>
      <c r="T102" s="75">
        <v>15</v>
      </c>
      <c r="U102" s="75" t="s">
        <v>44</v>
      </c>
      <c r="V102" s="81" t="s">
        <v>1057</v>
      </c>
      <c r="W102" s="81"/>
      <c r="X102" s="80"/>
      <c r="Y102" s="80"/>
      <c r="Z102" s="80"/>
      <c r="AA102" s="80"/>
      <c r="AB102" s="80"/>
      <c r="AC102" s="80"/>
      <c r="AD102" s="80"/>
      <c r="AE102" s="80"/>
      <c r="AF102" s="80"/>
      <c r="AG102" s="80"/>
      <c r="AH102" s="80"/>
      <c r="AI102" s="80"/>
      <c r="AJ102" s="80"/>
      <c r="AK102" s="80"/>
      <c r="AL102" s="80"/>
      <c r="AM102" s="80"/>
      <c r="AN102" s="80"/>
    </row>
    <row r="103" spans="1:46" x14ac:dyDescent="0.45">
      <c r="A103" s="80"/>
      <c r="B103" s="81"/>
      <c r="C103" s="81"/>
      <c r="D103" s="81"/>
      <c r="E103" s="81"/>
      <c r="F103" s="81"/>
      <c r="G103" s="81"/>
      <c r="H103" s="81"/>
      <c r="I103" s="81"/>
      <c r="J103" s="81"/>
      <c r="K103" s="81"/>
      <c r="L103" s="81"/>
      <c r="M103" s="81"/>
      <c r="N103" s="81"/>
      <c r="O103" s="81"/>
      <c r="P103" s="81"/>
      <c r="Q103" s="81"/>
      <c r="R103" s="81"/>
      <c r="S103" s="75" t="s">
        <v>907</v>
      </c>
      <c r="T103" s="75">
        <v>56.5</v>
      </c>
      <c r="U103" s="75" t="s">
        <v>44</v>
      </c>
      <c r="V103" s="81"/>
      <c r="W103" s="81"/>
      <c r="X103" s="80"/>
      <c r="Y103" s="80"/>
      <c r="Z103" s="80"/>
      <c r="AA103" s="80"/>
      <c r="AB103" s="80"/>
      <c r="AC103" s="80"/>
      <c r="AD103" s="80"/>
      <c r="AE103" s="80"/>
      <c r="AF103" s="80"/>
      <c r="AG103" s="80"/>
      <c r="AH103" s="80"/>
      <c r="AI103" s="80"/>
      <c r="AJ103" s="80"/>
      <c r="AK103" s="80"/>
      <c r="AL103" s="80"/>
      <c r="AM103" s="80"/>
      <c r="AN103" s="80"/>
    </row>
    <row r="104" spans="1:46" x14ac:dyDescent="0.45">
      <c r="A104" s="80"/>
      <c r="B104" s="81"/>
      <c r="C104" s="81"/>
      <c r="D104" s="81"/>
      <c r="E104" s="81"/>
      <c r="F104" s="81"/>
      <c r="G104" s="81"/>
      <c r="H104" s="81"/>
      <c r="I104" s="81"/>
      <c r="J104" s="81"/>
      <c r="K104" s="81"/>
      <c r="L104" s="81"/>
      <c r="M104" s="81"/>
      <c r="N104" s="81"/>
      <c r="O104" s="81"/>
      <c r="P104" s="81"/>
      <c r="Q104" s="81"/>
      <c r="R104" s="81"/>
      <c r="S104" s="75" t="s">
        <v>910</v>
      </c>
      <c r="T104" s="75">
        <v>2.5</v>
      </c>
      <c r="U104" s="75"/>
      <c r="V104" s="81"/>
      <c r="W104" s="81"/>
      <c r="X104" s="80"/>
      <c r="Y104" s="80"/>
      <c r="Z104" s="80"/>
      <c r="AA104" s="80"/>
      <c r="AB104" s="80"/>
      <c r="AC104" s="80"/>
      <c r="AD104" s="80"/>
      <c r="AE104" s="80"/>
      <c r="AF104" s="80"/>
      <c r="AG104" s="80"/>
      <c r="AH104" s="80"/>
      <c r="AI104" s="80"/>
      <c r="AJ104" s="80"/>
      <c r="AK104" s="80"/>
      <c r="AL104" s="80"/>
      <c r="AM104" s="80"/>
      <c r="AN104" s="80"/>
    </row>
    <row r="105" spans="1:46" x14ac:dyDescent="0.45">
      <c r="A105" s="80"/>
      <c r="B105" s="81"/>
      <c r="C105" s="81"/>
      <c r="D105" s="81"/>
      <c r="E105" s="81"/>
      <c r="F105" s="81"/>
      <c r="G105" s="81"/>
      <c r="H105" s="81"/>
      <c r="I105" s="81"/>
      <c r="J105" s="81"/>
      <c r="K105" s="81"/>
      <c r="L105" s="81"/>
      <c r="M105" s="81"/>
      <c r="N105" s="81"/>
      <c r="O105" s="81"/>
      <c r="P105" s="81"/>
      <c r="Q105" s="81"/>
      <c r="R105" s="81"/>
      <c r="S105" s="75" t="s">
        <v>912</v>
      </c>
      <c r="T105" s="75">
        <v>17.600000000000001</v>
      </c>
      <c r="U105" s="75" t="s">
        <v>44</v>
      </c>
      <c r="V105" s="81" t="s">
        <v>1058</v>
      </c>
      <c r="W105" s="81"/>
      <c r="X105" s="80"/>
      <c r="Y105" s="80"/>
      <c r="Z105" s="80"/>
      <c r="AA105" s="80"/>
      <c r="AB105" s="80"/>
      <c r="AC105" s="80"/>
      <c r="AD105" s="80"/>
      <c r="AE105" s="80"/>
      <c r="AF105" s="80"/>
      <c r="AG105" s="80"/>
      <c r="AH105" s="80"/>
      <c r="AI105" s="80"/>
      <c r="AJ105" s="80"/>
      <c r="AK105" s="80"/>
      <c r="AL105" s="80"/>
      <c r="AM105" s="80"/>
      <c r="AN105" s="80"/>
    </row>
    <row r="106" spans="1:46" x14ac:dyDescent="0.45">
      <c r="A106" s="80"/>
      <c r="B106" s="81"/>
      <c r="C106" s="81"/>
      <c r="D106" s="81"/>
      <c r="E106" s="81"/>
      <c r="F106" s="81"/>
      <c r="G106" s="81"/>
      <c r="H106" s="81"/>
      <c r="I106" s="81"/>
      <c r="J106" s="81"/>
      <c r="K106" s="81"/>
      <c r="L106" s="81"/>
      <c r="M106" s="81"/>
      <c r="N106" s="81"/>
      <c r="O106" s="81"/>
      <c r="P106" s="81"/>
      <c r="Q106" s="81"/>
      <c r="R106" s="81"/>
      <c r="S106" s="75" t="s">
        <v>915</v>
      </c>
      <c r="T106" s="75">
        <v>20</v>
      </c>
      <c r="U106" s="75"/>
      <c r="V106" s="81"/>
      <c r="W106" s="81"/>
      <c r="X106" s="80"/>
      <c r="Y106" s="80"/>
      <c r="Z106" s="80"/>
      <c r="AA106" s="80"/>
      <c r="AB106" s="80"/>
      <c r="AC106" s="80"/>
      <c r="AD106" s="80"/>
      <c r="AE106" s="80"/>
      <c r="AF106" s="80"/>
      <c r="AG106" s="80"/>
      <c r="AH106" s="80"/>
      <c r="AI106" s="80"/>
      <c r="AJ106" s="80"/>
      <c r="AK106" s="80"/>
      <c r="AL106" s="80"/>
      <c r="AM106" s="80"/>
      <c r="AN106" s="80"/>
    </row>
    <row r="107" spans="1:46" x14ac:dyDescent="0.45">
      <c r="A107" s="80"/>
      <c r="B107" s="81"/>
      <c r="C107" s="81"/>
      <c r="D107" s="81"/>
      <c r="E107" s="81"/>
      <c r="F107" s="81"/>
      <c r="G107" s="81"/>
      <c r="H107" s="81"/>
      <c r="I107" s="81"/>
      <c r="J107" s="81"/>
      <c r="K107" s="81"/>
      <c r="L107" s="81"/>
      <c r="M107" s="81"/>
      <c r="N107" s="81"/>
      <c r="O107" s="81"/>
      <c r="P107" s="81"/>
      <c r="Q107" s="81"/>
      <c r="R107" s="81"/>
      <c r="S107" s="75" t="s">
        <v>951</v>
      </c>
      <c r="T107" s="75">
        <v>22.5</v>
      </c>
      <c r="U107" s="75" t="s">
        <v>44</v>
      </c>
      <c r="V107" s="81"/>
      <c r="W107" s="81"/>
      <c r="X107" s="80"/>
      <c r="Y107" s="80"/>
      <c r="Z107" s="80"/>
      <c r="AA107" s="80"/>
      <c r="AB107" s="80"/>
      <c r="AC107" s="80"/>
      <c r="AD107" s="80"/>
      <c r="AE107" s="80"/>
      <c r="AF107" s="80"/>
      <c r="AG107" s="80"/>
      <c r="AH107" s="80"/>
      <c r="AI107" s="80"/>
      <c r="AJ107" s="80"/>
      <c r="AK107" s="80"/>
      <c r="AL107" s="80"/>
      <c r="AM107" s="80"/>
      <c r="AN107" s="80"/>
    </row>
    <row r="108" spans="1:46" x14ac:dyDescent="0.45">
      <c r="A108" s="80"/>
      <c r="B108" s="81"/>
      <c r="C108" s="81"/>
      <c r="D108" s="81"/>
      <c r="E108" s="81"/>
      <c r="F108" s="81"/>
      <c r="G108" s="81"/>
      <c r="H108" s="81"/>
      <c r="I108" s="81"/>
      <c r="J108" s="81"/>
      <c r="K108" s="81"/>
      <c r="L108" s="81"/>
      <c r="M108" s="81"/>
      <c r="N108" s="81"/>
      <c r="O108" s="81"/>
      <c r="P108" s="81"/>
      <c r="Q108" s="81"/>
      <c r="R108" s="81"/>
      <c r="S108" s="75" t="s">
        <v>953</v>
      </c>
      <c r="T108" s="75">
        <v>0.2</v>
      </c>
      <c r="U108" s="75" t="s">
        <v>952</v>
      </c>
      <c r="V108" s="81"/>
      <c r="W108" s="81"/>
      <c r="X108" s="80"/>
      <c r="Y108" s="80"/>
      <c r="Z108" s="80"/>
      <c r="AA108" s="80"/>
      <c r="AB108" s="80"/>
      <c r="AC108" s="80"/>
      <c r="AD108" s="80"/>
      <c r="AE108" s="80"/>
      <c r="AF108" s="80"/>
      <c r="AG108" s="80"/>
      <c r="AH108" s="80"/>
      <c r="AI108" s="80"/>
      <c r="AJ108" s="80"/>
      <c r="AK108" s="80"/>
      <c r="AL108" s="80"/>
      <c r="AM108" s="80"/>
      <c r="AN108" s="80"/>
    </row>
    <row r="110" spans="1:46" x14ac:dyDescent="0.45">
      <c r="A110" s="58" t="s">
        <v>162</v>
      </c>
      <c r="B110" s="2" t="s">
        <v>1094</v>
      </c>
      <c r="C110" s="58" t="s">
        <v>161</v>
      </c>
      <c r="D110" s="2" t="s">
        <v>956</v>
      </c>
      <c r="U110" s="89"/>
      <c r="AO110" t="s">
        <v>163</v>
      </c>
      <c r="AP110" t="s">
        <v>1102</v>
      </c>
      <c r="AQ110" t="s">
        <v>162</v>
      </c>
      <c r="AR110" t="s">
        <v>1094</v>
      </c>
      <c r="AS110" t="s">
        <v>161</v>
      </c>
      <c r="AT110" t="s">
        <v>956</v>
      </c>
    </row>
    <row r="111" spans="1:46" x14ac:dyDescent="0.45">
      <c r="A111" s="40" t="s">
        <v>0</v>
      </c>
      <c r="B111" s="2"/>
      <c r="C111" s="2"/>
      <c r="D111" s="2"/>
      <c r="E111" s="2"/>
      <c r="F111" s="2"/>
      <c r="G111" s="2"/>
      <c r="H111" s="2"/>
      <c r="I111" s="2"/>
      <c r="J111" s="2"/>
      <c r="K111" s="2"/>
      <c r="L111" s="2"/>
      <c r="M111" s="2"/>
      <c r="N111" s="2"/>
      <c r="O111" s="2"/>
      <c r="P111" s="2"/>
      <c r="Q111" s="58" t="s">
        <v>322</v>
      </c>
      <c r="U111" s="89"/>
    </row>
    <row r="112" spans="1:46" x14ac:dyDescent="0.45">
      <c r="A112" s="2">
        <v>1</v>
      </c>
      <c r="B112" s="142" t="s">
        <v>1</v>
      </c>
      <c r="C112" s="143" t="s">
        <v>18</v>
      </c>
      <c r="D112" s="143">
        <v>20</v>
      </c>
      <c r="E112" s="143">
        <v>10</v>
      </c>
      <c r="F112" s="143">
        <v>0</v>
      </c>
      <c r="G112" s="143">
        <v>30</v>
      </c>
      <c r="H112" s="143">
        <v>10</v>
      </c>
      <c r="I112" s="143">
        <v>0</v>
      </c>
      <c r="J112" s="143" t="s">
        <v>19</v>
      </c>
      <c r="K112" s="143">
        <f>FW</f>
        <v>0.5</v>
      </c>
      <c r="L112" s="143">
        <f>LH</f>
        <v>0.2</v>
      </c>
      <c r="M112" s="143"/>
      <c r="N112" s="143"/>
      <c r="O112" s="143"/>
      <c r="P112" s="143"/>
      <c r="Q112" s="143" t="s">
        <v>872</v>
      </c>
      <c r="S112" s="95" t="s">
        <v>40</v>
      </c>
      <c r="T112" s="3"/>
      <c r="U112" s="5"/>
    </row>
    <row r="113" spans="1:34" x14ac:dyDescent="0.45">
      <c r="A113" s="2">
        <v>2</v>
      </c>
      <c r="B113" s="142" t="s">
        <v>1</v>
      </c>
      <c r="C113" s="143" t="s">
        <v>18</v>
      </c>
      <c r="D113" s="143" t="s">
        <v>117</v>
      </c>
      <c r="E113" s="143" t="s">
        <v>117</v>
      </c>
      <c r="F113" s="143" t="s">
        <v>117</v>
      </c>
      <c r="G113" s="143">
        <v>175</v>
      </c>
      <c r="H113" s="143" t="s">
        <v>117</v>
      </c>
      <c r="I113" s="144" t="s">
        <v>117</v>
      </c>
      <c r="J113" s="144" t="s">
        <v>19</v>
      </c>
      <c r="K113" s="143">
        <f>FW</f>
        <v>0.5</v>
      </c>
      <c r="L113" s="143">
        <f>LH</f>
        <v>0.2</v>
      </c>
      <c r="M113" s="143"/>
      <c r="N113" s="143"/>
      <c r="O113" s="143"/>
      <c r="P113" s="143"/>
      <c r="Q113" s="143" t="s">
        <v>872</v>
      </c>
      <c r="S113" s="5" t="s">
        <v>115</v>
      </c>
      <c r="T113" s="126">
        <f>LH*0.75</f>
        <v>0.15000000000000002</v>
      </c>
      <c r="U113" s="5" t="s">
        <v>44</v>
      </c>
      <c r="V113" s="126">
        <v>0.15</v>
      </c>
    </row>
    <row r="114" spans="1:34" x14ac:dyDescent="0.45">
      <c r="A114" s="2">
        <v>3</v>
      </c>
      <c r="B114" s="142" t="s">
        <v>1</v>
      </c>
      <c r="C114" s="143" t="s">
        <v>18</v>
      </c>
      <c r="D114" s="143" t="s">
        <v>117</v>
      </c>
      <c r="E114" s="143" t="s">
        <v>117</v>
      </c>
      <c r="F114" s="143" t="s">
        <v>117</v>
      </c>
      <c r="G114" s="143" t="s">
        <v>117</v>
      </c>
      <c r="H114" s="143">
        <v>100</v>
      </c>
      <c r="I114" s="144" t="s">
        <v>117</v>
      </c>
      <c r="J114" s="144" t="s">
        <v>19</v>
      </c>
      <c r="K114" s="143">
        <f>FW</f>
        <v>0.5</v>
      </c>
      <c r="L114" s="143">
        <f>LH</f>
        <v>0.2</v>
      </c>
      <c r="M114" s="143"/>
      <c r="N114" s="143"/>
      <c r="O114" s="143"/>
      <c r="P114" s="143"/>
      <c r="Q114" s="17" t="s">
        <v>872</v>
      </c>
      <c r="S114" s="5" t="s">
        <v>88</v>
      </c>
      <c r="T114" s="5">
        <v>1</v>
      </c>
      <c r="U114" s="5" t="s">
        <v>90</v>
      </c>
    </row>
    <row r="115" spans="1:34" x14ac:dyDescent="0.45">
      <c r="A115" s="2">
        <v>4</v>
      </c>
      <c r="B115" s="146" t="s">
        <v>206</v>
      </c>
      <c r="C115" s="2">
        <v>100</v>
      </c>
      <c r="D115" s="2">
        <v>100</v>
      </c>
      <c r="E115" s="2" t="e" cm="1">
        <f t="array" ref="E115">(pi_2*Tval)-((Swerve*pi_2*SIN(Tval*nTip*pi_2+(pi_2/2))))*(((1/(1+EXP(X_1-(Zval/Height)*X_2)))*(1/(1+EXP(X_1-(1-(Zval/Height))*X_2))))-(0.5*(SIN((Zval/Height)*0.5*pi_2))^20))</f>
        <v>#NAME?</v>
      </c>
      <c r="F115" s="2" t="e" cm="1">
        <f t="array" ref="F115">R_0+(TipLen*(0.5+0.5*(COS(Tval*nTip*pi_2)))^2.5)+((0.5-(0.5*COS(Tval*(Segs1/2)*2*PI())))*(ZagMin+(ZagMax*(0.5+0.5*(COS(Tval*nTip*pi_2)))^2)))+(((Bulge2*(0.5+0.5*(COS((Zval/Height+0.15)*2.3*pi_2)))^1.5)))</f>
        <v>#NAME?</v>
      </c>
      <c r="G115" s="2" t="e" cm="1">
        <f t="array" ref="G115">(LH*Tval)</f>
        <v>#NAME?</v>
      </c>
      <c r="H115" s="2">
        <v>0</v>
      </c>
      <c r="I115" s="2">
        <v>1</v>
      </c>
      <c r="J115" s="2" cm="1">
        <f t="array" ref="J115">Segs1</f>
        <v>300</v>
      </c>
      <c r="K115" s="2" t="e" cm="1">
        <f t="array" ref="K115">IF(Zmid&lt;LH,FW+FW*Tmid*FirstLayerEFactor,FW)</f>
        <v>#NAME?</v>
      </c>
      <c r="L115" s="2">
        <f>LH</f>
        <v>0.2</v>
      </c>
      <c r="M115" s="2"/>
      <c r="N115" s="2" t="s">
        <v>875</v>
      </c>
      <c r="O115" s="2"/>
      <c r="P115" s="2"/>
      <c r="Q115" s="2" t="s">
        <v>1049</v>
      </c>
      <c r="S115" s="5" t="s">
        <v>89</v>
      </c>
      <c r="T115" s="126">
        <v>0.5</v>
      </c>
      <c r="U115" s="5" t="s">
        <v>90</v>
      </c>
    </row>
    <row r="116" spans="1:34" x14ac:dyDescent="0.45">
      <c r="A116" s="2">
        <v>5</v>
      </c>
      <c r="B116" s="147" t="s">
        <v>205</v>
      </c>
      <c r="C116" s="147" t="e" cm="1">
        <f t="array" ref="C116">100+RadInner+((RadOuter-RadInner)*(1-Tval))</f>
        <v>#NAME?</v>
      </c>
      <c r="D116" s="147" t="e" cm="1">
        <f t="array" ref="D116">100+(FrameLineSpacingRatio*(FrameWidthFactor*FW))+(Amp_1*Tval)*((0.5-0.5*COS((Tval^0.66)*3*pi_2))^1)</f>
        <v>#NAME?</v>
      </c>
      <c r="E116" s="147">
        <v>0</v>
      </c>
      <c r="F116" s="147">
        <v>0</v>
      </c>
      <c r="G116" s="147">
        <v>1</v>
      </c>
      <c r="H116" s="147">
        <f>Segs2</f>
        <v>64</v>
      </c>
      <c r="I116" s="147">
        <f>FW*FrameWidthFactor</f>
        <v>1.25</v>
      </c>
      <c r="J116" s="147">
        <f>LH</f>
        <v>0.2</v>
      </c>
      <c r="K116" s="147"/>
      <c r="L116" s="147">
        <f>NozzleFeedratePrinting/FrameWidthFactor</f>
        <v>400</v>
      </c>
      <c r="M116" s="147"/>
      <c r="N116" s="147"/>
      <c r="O116" s="147"/>
      <c r="P116" s="147"/>
      <c r="Q116" s="147" t="s">
        <v>1050</v>
      </c>
      <c r="S116" s="5" t="s">
        <v>226</v>
      </c>
      <c r="T116" s="5" t="s">
        <v>237</v>
      </c>
      <c r="U116" s="5"/>
      <c r="V116" s="5" t="s">
        <v>237</v>
      </c>
      <c r="W116" s="5" t="s">
        <v>237</v>
      </c>
      <c r="X116" s="5" t="s">
        <v>237</v>
      </c>
      <c r="Y116" s="5" t="s">
        <v>237</v>
      </c>
      <c r="Z116" s="5" t="s">
        <v>237</v>
      </c>
      <c r="AA116" s="5" t="s">
        <v>237</v>
      </c>
      <c r="AB116" s="127" t="s">
        <v>585</v>
      </c>
      <c r="AC116" s="128" t="s">
        <v>626</v>
      </c>
      <c r="AD116" s="5" t="s">
        <v>237</v>
      </c>
      <c r="AE116" s="5" t="s">
        <v>237</v>
      </c>
      <c r="AF116" s="5" t="s">
        <v>237</v>
      </c>
      <c r="AG116" s="5" t="s">
        <v>237</v>
      </c>
      <c r="AH116" s="5" t="s">
        <v>237</v>
      </c>
    </row>
    <row r="117" spans="1:34" x14ac:dyDescent="0.45">
      <c r="A117" s="2">
        <v>6</v>
      </c>
      <c r="B117" s="147" t="s">
        <v>10</v>
      </c>
      <c r="C117" s="147">
        <v>100</v>
      </c>
      <c r="D117" s="147">
        <v>100</v>
      </c>
      <c r="E117" s="147">
        <v>0</v>
      </c>
      <c r="F117" s="147" cm="1">
        <f t="array" ref="F117">RadInner</f>
        <v>15</v>
      </c>
      <c r="G117" s="147">
        <v>0</v>
      </c>
      <c r="H117" s="147">
        <f>180/nTip</f>
        <v>30</v>
      </c>
      <c r="I117" s="147" t="s">
        <v>38</v>
      </c>
      <c r="J117" s="147">
        <f>FLOOR(H117,1)</f>
        <v>30</v>
      </c>
      <c r="K117" s="147">
        <f>FW*FrameWidthFactor</f>
        <v>1.25</v>
      </c>
      <c r="L117" s="147">
        <f>LH</f>
        <v>0.2</v>
      </c>
      <c r="M117" s="147" t="str">
        <f>"F="&amp;NozzleFeedratePrinting/FrameWidthFactor</f>
        <v>F=400</v>
      </c>
      <c r="N117" s="147"/>
      <c r="O117" s="147"/>
      <c r="P117" s="147"/>
      <c r="Q117" s="147" t="s">
        <v>1051</v>
      </c>
      <c r="S117" s="5" t="s">
        <v>227</v>
      </c>
      <c r="T117" s="5">
        <v>0</v>
      </c>
      <c r="U117" s="5"/>
    </row>
    <row r="118" spans="1:34" x14ac:dyDescent="0.45">
      <c r="A118" s="2">
        <v>7</v>
      </c>
      <c r="B118" s="147" t="s">
        <v>17</v>
      </c>
      <c r="C118" s="147" t="s">
        <v>947</v>
      </c>
      <c r="D118" s="147" t="s">
        <v>2</v>
      </c>
      <c r="E118" s="147">
        <v>100</v>
      </c>
      <c r="F118" s="147">
        <v>100</v>
      </c>
      <c r="G118" s="147">
        <f>180/nTip</f>
        <v>30</v>
      </c>
      <c r="H118" s="147"/>
      <c r="I118" s="147"/>
      <c r="J118" s="147"/>
      <c r="K118" s="147"/>
      <c r="L118" s="147"/>
      <c r="M118" s="147"/>
      <c r="N118" s="147"/>
      <c r="O118" s="147"/>
      <c r="P118" s="147"/>
      <c r="Q118" s="147" t="s">
        <v>1046</v>
      </c>
      <c r="S118" s="57"/>
      <c r="T118" s="57"/>
      <c r="U118" s="90"/>
    </row>
    <row r="119" spans="1:34" x14ac:dyDescent="0.45">
      <c r="A119" s="2">
        <v>8</v>
      </c>
      <c r="B119" s="147" t="s">
        <v>54</v>
      </c>
      <c r="C119" s="147" t="s">
        <v>948</v>
      </c>
      <c r="D119" s="147">
        <v>100</v>
      </c>
      <c r="E119" s="147">
        <v>100</v>
      </c>
      <c r="F119" s="147">
        <f>360/nTip</f>
        <v>60</v>
      </c>
      <c r="G119" s="147">
        <v>0</v>
      </c>
      <c r="H119" s="147">
        <f>nTip-1</f>
        <v>5</v>
      </c>
      <c r="I119" s="147"/>
      <c r="J119" s="147"/>
      <c r="K119" s="147"/>
      <c r="L119" s="147"/>
      <c r="M119" s="147"/>
      <c r="N119" s="147"/>
      <c r="O119" s="147"/>
      <c r="P119" s="147"/>
      <c r="Q119" s="147" t="s">
        <v>1052</v>
      </c>
      <c r="S119" s="5" t="s">
        <v>371</v>
      </c>
      <c r="T119" s="5">
        <v>60</v>
      </c>
      <c r="U119" s="5" t="s">
        <v>43</v>
      </c>
      <c r="X119" s="137">
        <v>60</v>
      </c>
      <c r="Y119" s="124">
        <v>60</v>
      </c>
      <c r="Z119" s="126">
        <v>60</v>
      </c>
      <c r="AA119" s="127">
        <v>60</v>
      </c>
      <c r="AB119" s="127">
        <v>60</v>
      </c>
      <c r="AC119" s="134">
        <v>60</v>
      </c>
      <c r="AD119" s="135">
        <v>60</v>
      </c>
      <c r="AE119" s="136">
        <v>60</v>
      </c>
      <c r="AF119" s="138">
        <v>60</v>
      </c>
      <c r="AG119" s="132">
        <v>60</v>
      </c>
      <c r="AH119" s="139">
        <v>60</v>
      </c>
    </row>
    <row r="120" spans="1:34" x14ac:dyDescent="0.45">
      <c r="A120" s="2">
        <v>9</v>
      </c>
      <c r="B120" s="142" t="s">
        <v>279</v>
      </c>
      <c r="C120" s="142">
        <v>4</v>
      </c>
      <c r="D120" s="142" t="s">
        <v>203</v>
      </c>
      <c r="E120" s="142">
        <v>100</v>
      </c>
      <c r="F120" s="142">
        <v>100</v>
      </c>
      <c r="G120" s="142">
        <v>0</v>
      </c>
      <c r="H120" s="142" t="e" cm="1">
        <f t="array" ref="H120">(Bulge1*(SIN(Zval/Height*0.5*pi_2))^1)+(RipD*(SIN(Zval/Height*RipFreq*pi_2))^2)</f>
        <v>#NAME?</v>
      </c>
      <c r="I120" s="142">
        <v>0</v>
      </c>
      <c r="J120" s="142" t="s">
        <v>136</v>
      </c>
      <c r="K120" s="142" t="s">
        <v>136</v>
      </c>
      <c r="L120" s="142"/>
      <c r="M120" s="142"/>
      <c r="N120" s="142"/>
      <c r="O120" s="142"/>
      <c r="P120" s="142"/>
      <c r="Q120" s="142" t="s">
        <v>1053</v>
      </c>
      <c r="S120" s="5" t="s">
        <v>86</v>
      </c>
      <c r="T120" s="5">
        <v>1000</v>
      </c>
      <c r="U120" s="5" t="s">
        <v>45</v>
      </c>
    </row>
    <row r="121" spans="1:34" x14ac:dyDescent="0.45">
      <c r="A121" s="2">
        <v>10</v>
      </c>
      <c r="B121" s="148" t="s">
        <v>279</v>
      </c>
      <c r="C121" s="148" t="s">
        <v>949</v>
      </c>
      <c r="D121" s="148" t="s">
        <v>203</v>
      </c>
      <c r="E121" s="148">
        <v>100</v>
      </c>
      <c r="F121" s="148">
        <v>100</v>
      </c>
      <c r="G121" s="148">
        <v>0</v>
      </c>
      <c r="H121" s="148" t="e" cm="1">
        <f t="array" ref="H121">IF(Rval&gt;=RadOuter,((((Bulge2*(0.5+0.5*(COS((Zval/Height+0.15)*2.3*pi_2)))^1.5)))-1)+((Bulge1*(SIN(Zval/Height*0.5*pi_2))^1)+(RipD*(SIN(Zval/Height*RipFreq*pi_2))^2)),0)</f>
        <v>#NAME?</v>
      </c>
      <c r="I121" s="148">
        <v>0</v>
      </c>
      <c r="J121" s="148" t="s">
        <v>136</v>
      </c>
      <c r="K121" s="148" t="s">
        <v>136</v>
      </c>
      <c r="L121" s="148"/>
      <c r="M121" s="148"/>
      <c r="N121" s="148"/>
      <c r="O121" s="148"/>
      <c r="P121" s="148"/>
      <c r="Q121" s="148" t="s">
        <v>1047</v>
      </c>
      <c r="S121" s="5" t="s">
        <v>87</v>
      </c>
      <c r="T121" s="5">
        <v>7200</v>
      </c>
      <c r="U121" s="5" t="s">
        <v>45</v>
      </c>
    </row>
    <row r="122" spans="1:34" x14ac:dyDescent="0.45">
      <c r="A122" s="2">
        <v>11</v>
      </c>
      <c r="B122" s="150" t="s">
        <v>298</v>
      </c>
      <c r="C122" s="150" t="s">
        <v>950</v>
      </c>
      <c r="D122" s="150">
        <f>InnerFrameLayers-1</f>
        <v>19</v>
      </c>
      <c r="E122" s="150">
        <v>0</v>
      </c>
      <c r="F122" s="150">
        <v>0</v>
      </c>
      <c r="G122" s="150">
        <f>LH</f>
        <v>0.2</v>
      </c>
      <c r="H122" s="150"/>
      <c r="I122" s="150"/>
      <c r="J122" s="150"/>
      <c r="K122" s="150"/>
      <c r="L122" s="150"/>
      <c r="M122" s="150"/>
      <c r="N122" s="150"/>
      <c r="O122" s="150"/>
      <c r="P122" s="150"/>
      <c r="Q122" s="150" t="s">
        <v>1048</v>
      </c>
      <c r="S122" s="5" t="s">
        <v>41</v>
      </c>
      <c r="T122" s="122">
        <v>210</v>
      </c>
      <c r="U122" s="5" t="s">
        <v>43</v>
      </c>
      <c r="V122" s="122">
        <v>210</v>
      </c>
      <c r="W122" s="123">
        <v>210</v>
      </c>
      <c r="X122" s="137">
        <v>210</v>
      </c>
      <c r="Y122" s="124">
        <v>215</v>
      </c>
      <c r="Z122" s="126">
        <v>220</v>
      </c>
      <c r="AA122" s="127">
        <v>210</v>
      </c>
      <c r="AB122" s="127">
        <v>210</v>
      </c>
      <c r="AC122" s="134">
        <v>210</v>
      </c>
      <c r="AD122" s="135">
        <v>210</v>
      </c>
      <c r="AE122" s="136">
        <v>210</v>
      </c>
      <c r="AF122" s="138">
        <v>210</v>
      </c>
      <c r="AG122" s="132">
        <v>210</v>
      </c>
      <c r="AH122" s="139">
        <v>210</v>
      </c>
    </row>
    <row r="123" spans="1:34" x14ac:dyDescent="0.45">
      <c r="A123" s="2">
        <v>12</v>
      </c>
      <c r="B123" s="146" t="s">
        <v>206</v>
      </c>
      <c r="C123" s="2">
        <v>100</v>
      </c>
      <c r="D123" s="2">
        <v>100</v>
      </c>
      <c r="E123" s="2" t="e" cm="1">
        <f t="array" ref="E123">(pi_2*Tval)-((Swerve*pi_2*SIN(Tval*nTip*pi_2+(pi_2/2))))*(((1/(1+EXP(X_1-(Zval/Height)*X_2)))*(1/(1+EXP(X_1-(1-(Zval/Height))*X_2))))-(0.5*(SIN((Zval/Height)*0.5*pi_2))^20))</f>
        <v>#NAME?</v>
      </c>
      <c r="F123" s="2" t="e" cm="1">
        <f t="array" ref="F123">R_0+(TipLen*(0.5+0.5*(COS(Tval*nTip*pi_2)))^2.5)+((0.5-(0.5*COS(Tval*(Segs1/2)*2*PI())))*(ZagMin+(ZagMax*(0.5+0.5*(COS(Tval*nTip*pi_2)))^2)))+(((Bulge2*(0.5+0.5*(COS((Zval/Height+0.15)*2.3*pi_2)))^1.5)))</f>
        <v>#NAME?</v>
      </c>
      <c r="G123" s="2" t="e" cm="1">
        <f t="array" ref="G123">(LH*Tval)</f>
        <v>#NAME?</v>
      </c>
      <c r="H123" s="2">
        <f>InnerFrameLayers</f>
        <v>20</v>
      </c>
      <c r="I123" s="2">
        <f>(Height/LH)</f>
        <v>750</v>
      </c>
      <c r="J123" s="2" cm="1">
        <f t="array" ref="J123">Segs1*(I123-H123)</f>
        <v>219000</v>
      </c>
      <c r="K123" s="2" t="s">
        <v>874</v>
      </c>
      <c r="L123" s="2">
        <f>LH</f>
        <v>0.2</v>
      </c>
      <c r="M123" s="2"/>
      <c r="N123" s="2" t="s">
        <v>875</v>
      </c>
      <c r="O123" s="2"/>
      <c r="P123" s="2"/>
      <c r="Q123" s="2" t="s">
        <v>1054</v>
      </c>
      <c r="S123" s="5" t="s">
        <v>42</v>
      </c>
      <c r="T123" s="122">
        <v>2.85</v>
      </c>
      <c r="U123" s="5" t="s">
        <v>44</v>
      </c>
      <c r="V123" s="122">
        <v>2.85</v>
      </c>
      <c r="W123" s="123">
        <v>1.75</v>
      </c>
      <c r="X123" s="137">
        <v>1.75</v>
      </c>
      <c r="Y123" s="125">
        <v>1.75</v>
      </c>
      <c r="Z123" s="126">
        <v>1.75</v>
      </c>
      <c r="AA123" s="127">
        <v>1.75</v>
      </c>
      <c r="AB123" s="127">
        <v>1.75</v>
      </c>
      <c r="AC123" s="134">
        <v>1.75</v>
      </c>
      <c r="AD123" s="135">
        <v>1.75</v>
      </c>
      <c r="AE123" s="136">
        <v>1.75</v>
      </c>
      <c r="AF123" s="138">
        <v>1.75</v>
      </c>
      <c r="AG123" s="132">
        <v>2.85</v>
      </c>
      <c r="AH123" s="139">
        <v>1.75</v>
      </c>
    </row>
    <row r="124" spans="1:34" x14ac:dyDescent="0.45">
      <c r="A124" s="2">
        <v>13</v>
      </c>
      <c r="B124" s="142" t="s">
        <v>279</v>
      </c>
      <c r="C124" s="142">
        <v>12</v>
      </c>
      <c r="D124" s="142" t="s">
        <v>203</v>
      </c>
      <c r="E124" s="142">
        <v>100</v>
      </c>
      <c r="F124" s="142">
        <v>100</v>
      </c>
      <c r="G124" s="142">
        <v>0</v>
      </c>
      <c r="H124" s="142" t="e" cm="1">
        <f t="array" ref="H124">(Bulge1*(SIN(Zval/Height*0.5*pi_2))^1)+(RipD*(SIN(Zval/Height*RipFreq*pi_2))^2)</f>
        <v>#NAME?</v>
      </c>
      <c r="I124" s="142">
        <v>0</v>
      </c>
      <c r="J124" s="142" t="s">
        <v>136</v>
      </c>
      <c r="K124" s="142" t="s">
        <v>136</v>
      </c>
      <c r="L124" s="142"/>
      <c r="M124" s="142"/>
      <c r="N124" s="142"/>
      <c r="O124" s="142"/>
      <c r="P124" s="142"/>
      <c r="Q124" s="142" t="s">
        <v>1053</v>
      </c>
      <c r="S124" s="5" t="s">
        <v>46</v>
      </c>
      <c r="T124" s="122" t="s">
        <v>82</v>
      </c>
      <c r="U124" s="5" t="s">
        <v>91</v>
      </c>
      <c r="V124" s="122" t="s">
        <v>82</v>
      </c>
      <c r="W124" s="123" t="s">
        <v>44</v>
      </c>
      <c r="X124" s="137" t="s">
        <v>44</v>
      </c>
      <c r="Y124" s="125" t="s">
        <v>44</v>
      </c>
      <c r="Z124" s="126" t="s">
        <v>44</v>
      </c>
      <c r="AA124" s="127" t="s">
        <v>44</v>
      </c>
      <c r="AB124" s="127" t="s">
        <v>44</v>
      </c>
      <c r="AC124" s="134" t="s">
        <v>44</v>
      </c>
      <c r="AD124" s="135" t="s">
        <v>44</v>
      </c>
      <c r="AE124" s="136" t="s">
        <v>44</v>
      </c>
      <c r="AF124" s="138" t="s">
        <v>44</v>
      </c>
      <c r="AG124" s="132" t="s">
        <v>82</v>
      </c>
      <c r="AH124" s="139" t="s">
        <v>44</v>
      </c>
    </row>
    <row r="125" spans="1:34" x14ac:dyDescent="0.45">
      <c r="A125" s="2">
        <v>14</v>
      </c>
      <c r="B125" s="146" t="s">
        <v>1</v>
      </c>
      <c r="C125" s="2" t="s">
        <v>18</v>
      </c>
      <c r="D125" s="2" t="s">
        <v>117</v>
      </c>
      <c r="E125" s="2" t="s">
        <v>117</v>
      </c>
      <c r="F125" s="2" t="s">
        <v>117</v>
      </c>
      <c r="G125" s="2" t="s">
        <v>117</v>
      </c>
      <c r="H125" s="2" t="s">
        <v>117</v>
      </c>
      <c r="I125" s="2" t="s">
        <v>880</v>
      </c>
      <c r="J125" s="2" t="s">
        <v>23</v>
      </c>
      <c r="K125" s="2"/>
      <c r="L125" s="2"/>
      <c r="M125" s="2"/>
      <c r="N125" s="2"/>
      <c r="O125" s="2"/>
      <c r="P125" s="2"/>
      <c r="Q125" s="2" t="s">
        <v>1055</v>
      </c>
      <c r="S125" s="5" t="s">
        <v>125</v>
      </c>
      <c r="T125" s="122" t="s">
        <v>186</v>
      </c>
      <c r="U125" s="5"/>
      <c r="V125" s="122" t="s">
        <v>186</v>
      </c>
      <c r="W125" s="123" t="s">
        <v>451</v>
      </c>
      <c r="X125" s="137" t="s">
        <v>426</v>
      </c>
      <c r="Y125" s="24" t="s">
        <v>544</v>
      </c>
      <c r="Z125" s="126" t="s">
        <v>494</v>
      </c>
      <c r="AA125" s="127" t="s">
        <v>584</v>
      </c>
      <c r="AB125" s="127" t="s">
        <v>585</v>
      </c>
      <c r="AC125" s="134" t="s">
        <v>632</v>
      </c>
      <c r="AD125" s="135" t="s">
        <v>664</v>
      </c>
      <c r="AE125" s="136" t="s">
        <v>727</v>
      </c>
      <c r="AF125" s="138" t="s">
        <v>751</v>
      </c>
      <c r="AG125" s="132" t="s">
        <v>784</v>
      </c>
      <c r="AH125" s="139" t="s">
        <v>813</v>
      </c>
    </row>
    <row r="126" spans="1:34" x14ac:dyDescent="0.45">
      <c r="A126" s="81"/>
      <c r="B126" s="81"/>
      <c r="C126" s="81"/>
      <c r="D126" s="81"/>
      <c r="E126" s="81"/>
      <c r="F126" s="81"/>
      <c r="G126" s="81"/>
      <c r="H126" s="81"/>
      <c r="I126" s="81"/>
      <c r="J126" s="81"/>
      <c r="K126" s="81"/>
      <c r="L126" s="81"/>
      <c r="M126" s="81"/>
      <c r="N126" s="81"/>
      <c r="O126" s="81"/>
      <c r="P126" s="81"/>
      <c r="Q126" s="81"/>
      <c r="S126" s="5" t="s">
        <v>185</v>
      </c>
      <c r="T126" s="122" t="s">
        <v>156</v>
      </c>
      <c r="U126" s="5"/>
      <c r="V126" s="122" t="s">
        <v>156</v>
      </c>
      <c r="W126" s="123" t="s">
        <v>451</v>
      </c>
      <c r="X126" s="137" t="s">
        <v>426</v>
      </c>
      <c r="Y126" s="24" t="s">
        <v>544</v>
      </c>
      <c r="Z126" s="126" t="s">
        <v>494</v>
      </c>
      <c r="AA126" s="127" t="s">
        <v>584</v>
      </c>
      <c r="AB126" s="127" t="s">
        <v>585</v>
      </c>
      <c r="AC126" s="134" t="s">
        <v>632</v>
      </c>
      <c r="AD126" s="135" t="s">
        <v>664</v>
      </c>
      <c r="AE126" s="136" t="s">
        <v>727</v>
      </c>
      <c r="AF126" s="138" t="s">
        <v>751</v>
      </c>
      <c r="AG126" s="132" t="s">
        <v>784</v>
      </c>
      <c r="AH126" s="139" t="s">
        <v>813</v>
      </c>
    </row>
    <row r="127" spans="1:34" x14ac:dyDescent="0.45">
      <c r="A127" s="29"/>
      <c r="B127" s="81" t="s">
        <v>1105</v>
      </c>
      <c r="C127" s="81"/>
      <c r="D127" s="81"/>
      <c r="E127" s="81"/>
      <c r="F127" s="81"/>
      <c r="G127" s="81"/>
      <c r="H127" s="81"/>
      <c r="I127" s="81"/>
      <c r="J127" s="81"/>
      <c r="K127" s="81"/>
      <c r="L127" s="81"/>
      <c r="M127" s="81"/>
      <c r="N127" s="81"/>
      <c r="O127" s="81"/>
      <c r="P127" s="81"/>
      <c r="Q127" s="81"/>
      <c r="S127" s="5" t="s">
        <v>200</v>
      </c>
      <c r="T127" s="5">
        <v>20</v>
      </c>
      <c r="U127" s="5" t="s">
        <v>44</v>
      </c>
    </row>
    <row r="128" spans="1:34" x14ac:dyDescent="0.45">
      <c r="A128" s="29"/>
      <c r="B128" s="81" t="s">
        <v>1100</v>
      </c>
      <c r="C128" s="81"/>
      <c r="D128" s="81"/>
      <c r="E128" s="81"/>
      <c r="F128" s="81"/>
      <c r="G128" s="81"/>
      <c r="H128" s="81"/>
      <c r="I128" s="81"/>
      <c r="J128" s="81"/>
      <c r="K128" s="81"/>
      <c r="L128" s="81"/>
      <c r="M128" s="81"/>
      <c r="N128" s="81"/>
      <c r="O128" s="81"/>
      <c r="P128" s="81"/>
      <c r="Q128" s="81"/>
      <c r="S128" s="5" t="s">
        <v>201</v>
      </c>
      <c r="T128" s="5">
        <v>10</v>
      </c>
      <c r="U128" s="5" t="s">
        <v>44</v>
      </c>
    </row>
    <row r="129" spans="1:40" x14ac:dyDescent="0.45">
      <c r="A129" s="29"/>
      <c r="B129" s="81" t="s">
        <v>1101</v>
      </c>
      <c r="C129" s="81"/>
      <c r="D129" s="81"/>
      <c r="E129" s="81"/>
      <c r="F129" s="81"/>
      <c r="G129" s="81"/>
      <c r="H129" s="81"/>
      <c r="I129" s="81"/>
      <c r="J129" s="81"/>
      <c r="K129" s="81"/>
      <c r="L129" s="81"/>
      <c r="M129" s="81"/>
      <c r="N129" s="81"/>
      <c r="O129" s="81"/>
      <c r="P129" s="81"/>
      <c r="Q129" s="81"/>
      <c r="S129" s="5" t="s">
        <v>202</v>
      </c>
      <c r="T129" s="5">
        <v>0.3</v>
      </c>
      <c r="U129" s="5" t="s">
        <v>44</v>
      </c>
    </row>
    <row r="130" spans="1:40" x14ac:dyDescent="0.45">
      <c r="A130" s="29"/>
      <c r="B130" s="81"/>
      <c r="C130" s="81"/>
      <c r="D130" s="81"/>
      <c r="E130" s="81"/>
      <c r="F130" s="81"/>
      <c r="G130" s="81"/>
      <c r="H130" s="81"/>
      <c r="I130" s="81"/>
      <c r="J130" s="81"/>
      <c r="K130" s="81"/>
      <c r="L130" s="81"/>
      <c r="M130" s="81"/>
      <c r="N130" s="81"/>
      <c r="O130" s="81"/>
      <c r="P130" s="81"/>
      <c r="Q130" s="81"/>
      <c r="S130" s="78" t="s">
        <v>372</v>
      </c>
      <c r="T130" s="5">
        <v>255</v>
      </c>
      <c r="U130" s="5"/>
      <c r="V130" s="1"/>
    </row>
    <row r="131" spans="1:40" x14ac:dyDescent="0.45">
      <c r="A131" s="29"/>
      <c r="B131" s="81" t="s">
        <v>1104</v>
      </c>
      <c r="C131" s="81"/>
      <c r="D131" s="81"/>
      <c r="E131" s="81"/>
      <c r="F131" s="81"/>
      <c r="G131" s="81"/>
      <c r="H131" s="81"/>
      <c r="I131" s="81"/>
      <c r="J131" s="81"/>
      <c r="K131" s="81"/>
      <c r="L131" s="81"/>
      <c r="M131" s="81"/>
      <c r="N131" s="81"/>
      <c r="O131" s="81"/>
      <c r="P131" s="81"/>
      <c r="Q131" s="81"/>
      <c r="S131" s="5" t="s">
        <v>187</v>
      </c>
      <c r="T131" s="5" t="s">
        <v>199</v>
      </c>
      <c r="U131" s="5" t="s">
        <v>191</v>
      </c>
    </row>
    <row r="132" spans="1:40" x14ac:dyDescent="0.45">
      <c r="A132" s="29"/>
      <c r="B132" s="81" t="s">
        <v>1103</v>
      </c>
      <c r="C132" s="81"/>
      <c r="D132" s="81"/>
      <c r="E132" s="81"/>
      <c r="F132" s="81"/>
      <c r="G132" s="81"/>
      <c r="H132" s="81"/>
      <c r="I132" s="81"/>
      <c r="J132" s="81"/>
      <c r="K132" s="81"/>
      <c r="L132" s="81"/>
      <c r="M132" s="81"/>
      <c r="N132" s="81"/>
      <c r="O132" s="81"/>
      <c r="P132" s="81"/>
      <c r="Q132" s="81"/>
      <c r="S132" s="5" t="s">
        <v>192</v>
      </c>
      <c r="T132" s="5">
        <v>5</v>
      </c>
      <c r="U132" s="5" t="s">
        <v>44</v>
      </c>
      <c r="V132" s="1"/>
    </row>
    <row r="133" spans="1:40" x14ac:dyDescent="0.45">
      <c r="A133" s="29"/>
      <c r="B133" s="81"/>
      <c r="C133" s="81"/>
      <c r="D133" s="81"/>
      <c r="E133" s="81"/>
      <c r="F133" s="81"/>
      <c r="G133" s="81"/>
      <c r="H133" s="81"/>
      <c r="I133" s="81"/>
      <c r="J133" s="81"/>
      <c r="K133" s="81"/>
      <c r="L133" s="81"/>
      <c r="M133" s="81"/>
      <c r="N133" s="81"/>
      <c r="O133" s="81"/>
      <c r="P133" s="81"/>
      <c r="Q133" s="81"/>
      <c r="S133" s="5" t="s">
        <v>193</v>
      </c>
      <c r="T133" s="5">
        <v>1</v>
      </c>
      <c r="U133" s="5" t="s">
        <v>91</v>
      </c>
    </row>
    <row r="134" spans="1:40" x14ac:dyDescent="0.45">
      <c r="A134" s="29"/>
      <c r="B134" s="81"/>
      <c r="C134" s="81"/>
      <c r="D134" s="81"/>
      <c r="E134" s="81"/>
      <c r="F134" s="81"/>
      <c r="G134" s="81"/>
      <c r="H134" s="81"/>
      <c r="I134" s="81"/>
      <c r="J134" s="81"/>
      <c r="K134" s="81"/>
      <c r="L134" s="81"/>
      <c r="M134" s="81"/>
      <c r="N134" s="81"/>
      <c r="O134" s="81"/>
      <c r="P134" s="81"/>
      <c r="Q134" s="81"/>
      <c r="S134" s="5" t="s">
        <v>194</v>
      </c>
      <c r="T134" s="5">
        <v>3000</v>
      </c>
      <c r="U134" s="5" t="s">
        <v>45</v>
      </c>
    </row>
    <row r="135" spans="1:40" x14ac:dyDescent="0.45">
      <c r="A135" s="29"/>
      <c r="B135" s="81"/>
      <c r="C135" s="81"/>
      <c r="D135" s="81"/>
      <c r="E135" s="81"/>
      <c r="F135" s="81"/>
      <c r="G135" s="81"/>
      <c r="H135" s="81"/>
      <c r="I135" s="81"/>
      <c r="J135" s="81"/>
      <c r="K135" s="81"/>
      <c r="L135" s="81"/>
      <c r="M135" s="81"/>
      <c r="N135" s="81"/>
      <c r="O135" s="81"/>
      <c r="P135" s="81"/>
      <c r="Q135" s="81"/>
      <c r="S135" s="5" t="s">
        <v>195</v>
      </c>
      <c r="T135" s="5">
        <v>-1</v>
      </c>
      <c r="U135" s="5" t="s">
        <v>91</v>
      </c>
    </row>
    <row r="136" spans="1:40" x14ac:dyDescent="0.45">
      <c r="A136" s="29"/>
      <c r="B136" s="81"/>
      <c r="C136" s="81"/>
      <c r="D136" s="81"/>
      <c r="E136" s="81"/>
      <c r="F136" s="81"/>
      <c r="G136" s="81"/>
      <c r="H136" s="81"/>
      <c r="I136" s="81"/>
      <c r="J136" s="81"/>
      <c r="K136" s="81"/>
      <c r="L136" s="81"/>
      <c r="M136" s="81"/>
      <c r="N136" s="81"/>
      <c r="O136" s="81"/>
      <c r="P136" s="81"/>
      <c r="Q136" s="81"/>
      <c r="S136" s="3" t="s">
        <v>196</v>
      </c>
      <c r="T136" s="3">
        <v>3000</v>
      </c>
      <c r="U136" s="5" t="s">
        <v>45</v>
      </c>
    </row>
    <row r="137" spans="1:40" x14ac:dyDescent="0.45">
      <c r="A137" s="29"/>
      <c r="B137" s="81"/>
      <c r="C137" s="81"/>
      <c r="D137" s="81"/>
      <c r="E137" s="81"/>
      <c r="F137" s="81"/>
      <c r="G137" s="81"/>
      <c r="H137" s="81"/>
      <c r="I137" s="81"/>
      <c r="J137" s="81"/>
      <c r="K137" s="81"/>
      <c r="L137" s="81"/>
      <c r="M137" s="81"/>
      <c r="N137" s="81"/>
      <c r="O137" s="81"/>
      <c r="P137" s="81"/>
      <c r="Q137" s="81"/>
      <c r="S137" s="3" t="s">
        <v>197</v>
      </c>
      <c r="T137" s="3">
        <v>0.25</v>
      </c>
      <c r="U137" s="5" t="s">
        <v>44</v>
      </c>
    </row>
    <row r="138" spans="1:40" x14ac:dyDescent="0.45">
      <c r="A138" s="29"/>
      <c r="B138" s="81"/>
      <c r="C138" s="81"/>
      <c r="D138" s="81"/>
      <c r="E138" s="81"/>
      <c r="F138" s="81"/>
      <c r="G138" s="81"/>
      <c r="H138" s="81"/>
      <c r="I138" s="81"/>
      <c r="J138" s="81"/>
      <c r="K138" s="81"/>
      <c r="L138" s="81"/>
      <c r="M138" s="81"/>
      <c r="N138" s="81"/>
      <c r="O138" s="81"/>
      <c r="P138" s="81"/>
      <c r="Q138" s="81"/>
      <c r="S138" s="3" t="s">
        <v>198</v>
      </c>
      <c r="T138" s="3">
        <v>7500</v>
      </c>
      <c r="U138" s="5" t="s">
        <v>45</v>
      </c>
    </row>
    <row r="139" spans="1:40" x14ac:dyDescent="0.45">
      <c r="A139" s="29"/>
      <c r="B139" s="81"/>
      <c r="C139" s="81"/>
      <c r="D139" s="81"/>
      <c r="E139" s="81"/>
      <c r="F139" s="81"/>
      <c r="G139" s="81"/>
      <c r="H139" s="81"/>
      <c r="I139" s="81"/>
      <c r="J139" s="81"/>
      <c r="K139" s="81"/>
      <c r="L139" s="81"/>
      <c r="M139" s="81"/>
      <c r="N139" s="81"/>
      <c r="O139" s="81"/>
      <c r="P139" s="81"/>
      <c r="Q139" s="81"/>
      <c r="U139" s="89"/>
      <c r="W139" s="29"/>
      <c r="X139" s="29"/>
      <c r="Y139" s="29"/>
      <c r="Z139" s="29"/>
      <c r="AA139" s="29"/>
      <c r="AB139" s="29"/>
      <c r="AC139" s="29"/>
      <c r="AD139" s="29"/>
      <c r="AE139" s="29"/>
      <c r="AF139" s="29"/>
    </row>
    <row r="140" spans="1:40" x14ac:dyDescent="0.45">
      <c r="A140" s="29"/>
      <c r="B140" s="81"/>
      <c r="C140" s="81"/>
      <c r="D140" s="81"/>
      <c r="E140" s="81"/>
      <c r="F140" s="81"/>
      <c r="G140" s="81"/>
      <c r="H140" s="81"/>
      <c r="I140" s="81"/>
      <c r="J140" s="81"/>
      <c r="K140" s="81"/>
      <c r="L140" s="81"/>
      <c r="M140" s="81"/>
      <c r="N140" s="81"/>
      <c r="O140" s="81"/>
      <c r="P140" s="81"/>
      <c r="Q140" s="81"/>
      <c r="S140" s="96" t="s">
        <v>325</v>
      </c>
      <c r="T140" s="96" t="s">
        <v>326</v>
      </c>
      <c r="U140" s="97" t="s">
        <v>364</v>
      </c>
      <c r="W140" s="29"/>
      <c r="X140" s="29"/>
      <c r="Y140" s="29"/>
      <c r="Z140" s="29"/>
      <c r="AA140" s="29"/>
      <c r="AB140" s="29"/>
      <c r="AC140" s="29"/>
      <c r="AD140" s="29"/>
      <c r="AE140" s="29"/>
      <c r="AF140" s="29"/>
    </row>
    <row r="141" spans="1:40" x14ac:dyDescent="0.45">
      <c r="A141" s="29"/>
      <c r="B141" s="81"/>
      <c r="C141" s="81"/>
      <c r="D141" s="81"/>
      <c r="E141" s="81"/>
      <c r="F141" s="81"/>
      <c r="G141" s="81"/>
      <c r="H141" s="81"/>
      <c r="I141" s="81"/>
      <c r="J141" s="81"/>
      <c r="K141" s="81"/>
      <c r="L141" s="81"/>
      <c r="M141" s="81"/>
      <c r="N141" s="81"/>
      <c r="O141" s="81"/>
      <c r="P141" s="81"/>
      <c r="Q141" s="81"/>
      <c r="S141" s="75" t="s">
        <v>884</v>
      </c>
      <c r="T141" s="75">
        <v>0.2</v>
      </c>
      <c r="U141" s="92" t="s">
        <v>44</v>
      </c>
      <c r="V141" t="s">
        <v>1079</v>
      </c>
      <c r="W141" s="29"/>
      <c r="X141" s="29"/>
      <c r="Y141" s="29"/>
      <c r="Z141" s="29"/>
      <c r="AA141" s="29"/>
      <c r="AB141" s="29"/>
      <c r="AC141" s="29"/>
      <c r="AD141" s="29"/>
      <c r="AE141" s="29"/>
      <c r="AF141" s="29"/>
      <c r="AG141" s="29"/>
      <c r="AH141" s="29"/>
      <c r="AI141" s="29"/>
      <c r="AJ141" s="29"/>
      <c r="AK141" s="29"/>
      <c r="AL141" s="29"/>
      <c r="AM141" s="29"/>
      <c r="AN141" s="29"/>
    </row>
    <row r="142" spans="1:40" x14ac:dyDescent="0.45">
      <c r="A142" s="29"/>
      <c r="B142" s="81"/>
      <c r="C142" s="81"/>
      <c r="D142" s="81"/>
      <c r="E142" s="81"/>
      <c r="F142" s="81"/>
      <c r="G142" s="81"/>
      <c r="H142" s="81"/>
      <c r="I142" s="81"/>
      <c r="J142" s="81"/>
      <c r="K142" s="81"/>
      <c r="L142" s="81"/>
      <c r="M142" s="81"/>
      <c r="N142" s="81"/>
      <c r="O142" s="81"/>
      <c r="P142" s="81"/>
      <c r="Q142" s="81"/>
      <c r="S142" s="75" t="s">
        <v>885</v>
      </c>
      <c r="T142" s="75">
        <v>0.5</v>
      </c>
      <c r="U142" s="92" t="s">
        <v>44</v>
      </c>
      <c r="V142" t="s">
        <v>1093</v>
      </c>
      <c r="W142" s="29"/>
      <c r="X142" s="29"/>
      <c r="Y142" s="29"/>
      <c r="Z142" s="29"/>
      <c r="AA142" s="29"/>
      <c r="AB142" s="29"/>
      <c r="AC142" s="29"/>
      <c r="AD142" s="29"/>
      <c r="AE142" s="29"/>
      <c r="AF142" s="29"/>
      <c r="AG142" s="29"/>
      <c r="AH142" s="29"/>
      <c r="AI142" s="29"/>
      <c r="AJ142" s="29"/>
      <c r="AK142" s="29"/>
      <c r="AL142" s="29"/>
      <c r="AM142" s="29"/>
      <c r="AN142" s="29"/>
    </row>
    <row r="143" spans="1:40" x14ac:dyDescent="0.45">
      <c r="A143" s="80"/>
      <c r="B143" s="81"/>
      <c r="C143" s="81"/>
      <c r="D143" s="81"/>
      <c r="E143" s="81"/>
      <c r="F143" s="81"/>
      <c r="G143" s="81"/>
      <c r="H143" s="81"/>
      <c r="I143" s="81"/>
      <c r="J143" s="81"/>
      <c r="K143" s="81"/>
      <c r="L143" s="81"/>
      <c r="M143" s="81"/>
      <c r="N143" s="81"/>
      <c r="O143" s="81"/>
      <c r="P143" s="81"/>
      <c r="Q143" s="81"/>
      <c r="S143" s="75" t="s">
        <v>957</v>
      </c>
      <c r="T143" s="75">
        <v>300</v>
      </c>
      <c r="U143" s="92"/>
      <c r="V143" t="s">
        <v>959</v>
      </c>
      <c r="W143" s="80"/>
      <c r="X143" s="80"/>
      <c r="Y143" s="80"/>
      <c r="Z143" s="80"/>
      <c r="AA143" s="80"/>
      <c r="AB143" s="80"/>
      <c r="AC143" s="80"/>
      <c r="AD143" s="80"/>
      <c r="AE143" s="80"/>
      <c r="AF143" s="80"/>
      <c r="AG143" s="80"/>
      <c r="AH143" s="80"/>
      <c r="AI143" s="80"/>
      <c r="AJ143" s="80"/>
      <c r="AK143" s="80"/>
      <c r="AL143" s="80"/>
      <c r="AM143" s="80"/>
      <c r="AN143" s="80"/>
    </row>
    <row r="144" spans="1:40" x14ac:dyDescent="0.45">
      <c r="A144" s="80"/>
      <c r="B144" s="81"/>
      <c r="C144" s="81"/>
      <c r="D144" s="81"/>
      <c r="E144" s="81"/>
      <c r="F144" s="81"/>
      <c r="G144" s="81"/>
      <c r="H144" s="81"/>
      <c r="I144" s="81"/>
      <c r="J144" s="81"/>
      <c r="K144" s="81"/>
      <c r="L144" s="81"/>
      <c r="M144" s="81"/>
      <c r="N144" s="81"/>
      <c r="O144" s="81"/>
      <c r="P144" s="81"/>
      <c r="Q144" s="81"/>
      <c r="R144" s="81"/>
      <c r="S144" s="75" t="s">
        <v>958</v>
      </c>
      <c r="T144" s="75">
        <v>64</v>
      </c>
      <c r="U144" s="92"/>
      <c r="V144" s="81" t="s">
        <v>960</v>
      </c>
      <c r="W144" s="80"/>
      <c r="X144" s="80"/>
      <c r="Y144" s="80"/>
      <c r="Z144" s="80"/>
      <c r="AA144" s="80"/>
      <c r="AB144" s="80"/>
      <c r="AC144" s="80"/>
      <c r="AD144" s="80"/>
      <c r="AE144" s="80"/>
      <c r="AF144" s="80"/>
      <c r="AG144" s="80"/>
      <c r="AH144" s="80"/>
      <c r="AI144" s="80"/>
      <c r="AJ144" s="80"/>
      <c r="AK144" s="80"/>
      <c r="AL144" s="80"/>
      <c r="AM144" s="80"/>
      <c r="AN144" s="80"/>
    </row>
    <row r="145" spans="1:40" x14ac:dyDescent="0.45">
      <c r="A145" s="80"/>
      <c r="B145" s="81"/>
      <c r="C145" s="81"/>
      <c r="D145" s="81"/>
      <c r="E145" s="81"/>
      <c r="F145" s="81"/>
      <c r="G145" s="81"/>
      <c r="H145" s="81"/>
      <c r="I145" s="81"/>
      <c r="J145" s="81"/>
      <c r="K145" s="81"/>
      <c r="L145" s="81"/>
      <c r="M145" s="81"/>
      <c r="N145" s="81"/>
      <c r="O145" s="81"/>
      <c r="P145" s="81"/>
      <c r="Q145" s="81"/>
      <c r="R145" s="81"/>
      <c r="S145" s="75" t="s">
        <v>213</v>
      </c>
      <c r="T145" s="75">
        <v>150</v>
      </c>
      <c r="U145" s="75" t="s">
        <v>44</v>
      </c>
      <c r="V145" s="81" t="s">
        <v>1092</v>
      </c>
      <c r="W145" s="80"/>
      <c r="X145" s="80"/>
      <c r="Y145" s="80"/>
      <c r="Z145" s="80"/>
      <c r="AA145" s="80"/>
      <c r="AB145" s="80"/>
      <c r="AC145" s="80"/>
      <c r="AD145" s="80"/>
      <c r="AE145" s="80"/>
      <c r="AF145" s="80"/>
      <c r="AG145" s="80"/>
      <c r="AH145" s="80"/>
      <c r="AI145" s="80"/>
      <c r="AJ145" s="80"/>
      <c r="AK145" s="80"/>
      <c r="AL145" s="80"/>
      <c r="AM145" s="80"/>
      <c r="AN145" s="80"/>
    </row>
    <row r="146" spans="1:40" x14ac:dyDescent="0.45">
      <c r="A146" s="80"/>
      <c r="B146" s="81"/>
      <c r="C146" s="81"/>
      <c r="D146" s="81"/>
      <c r="E146" s="81"/>
      <c r="F146" s="81"/>
      <c r="G146" s="81"/>
      <c r="H146" s="81"/>
      <c r="I146" s="81"/>
      <c r="J146" s="81"/>
      <c r="K146" s="81"/>
      <c r="L146" s="81"/>
      <c r="M146" s="81"/>
      <c r="N146" s="81"/>
      <c r="O146" s="81"/>
      <c r="P146" s="81"/>
      <c r="Q146" s="81"/>
      <c r="R146" s="81"/>
      <c r="S146" s="75" t="s">
        <v>891</v>
      </c>
      <c r="T146" s="75">
        <v>6.2831853000000004</v>
      </c>
      <c r="U146" s="75"/>
      <c r="V146" s="81" t="s">
        <v>1080</v>
      </c>
      <c r="W146" s="80"/>
      <c r="X146" s="80"/>
      <c r="Y146" s="80"/>
      <c r="Z146" s="80"/>
      <c r="AA146" s="80"/>
      <c r="AB146" s="80"/>
      <c r="AC146" s="80"/>
      <c r="AD146" s="80"/>
      <c r="AE146" s="80"/>
      <c r="AF146" s="80"/>
      <c r="AG146" s="80"/>
      <c r="AH146" s="80"/>
      <c r="AI146" s="80"/>
      <c r="AJ146" s="80"/>
      <c r="AK146" s="80"/>
      <c r="AL146" s="80"/>
      <c r="AM146" s="80"/>
      <c r="AN146" s="80"/>
    </row>
    <row r="147" spans="1:40" x14ac:dyDescent="0.45">
      <c r="A147" s="80"/>
      <c r="B147" s="81"/>
      <c r="C147" s="81"/>
      <c r="D147" s="81"/>
      <c r="E147" s="81"/>
      <c r="F147" s="81"/>
      <c r="G147" s="81"/>
      <c r="H147" s="81"/>
      <c r="I147" s="81"/>
      <c r="J147" s="81"/>
      <c r="K147" s="81"/>
      <c r="L147" s="81"/>
      <c r="M147" s="81"/>
      <c r="N147" s="81"/>
      <c r="O147" s="81"/>
      <c r="P147" s="81"/>
      <c r="Q147" s="81"/>
      <c r="R147" s="81"/>
      <c r="S147" s="75" t="s">
        <v>892</v>
      </c>
      <c r="T147" s="75">
        <v>6</v>
      </c>
      <c r="U147" s="75"/>
      <c r="V147" s="81" t="s">
        <v>1081</v>
      </c>
      <c r="W147" s="80"/>
      <c r="X147" s="80"/>
      <c r="Y147" s="80"/>
      <c r="Z147" s="80"/>
      <c r="AA147" s="80"/>
      <c r="AB147" s="80"/>
      <c r="AC147" s="80"/>
      <c r="AD147" s="80"/>
      <c r="AE147" s="80"/>
      <c r="AF147" s="80"/>
      <c r="AG147" s="80"/>
      <c r="AH147" s="80"/>
      <c r="AI147" s="80"/>
      <c r="AJ147" s="80"/>
      <c r="AK147" s="80"/>
      <c r="AL147" s="80"/>
      <c r="AM147" s="80"/>
      <c r="AN147" s="80"/>
    </row>
    <row r="148" spans="1:40" x14ac:dyDescent="0.45">
      <c r="A148" s="80"/>
      <c r="B148" s="81"/>
      <c r="C148" s="81"/>
      <c r="D148" s="81"/>
      <c r="E148" s="81"/>
      <c r="F148" s="81"/>
      <c r="G148" s="81"/>
      <c r="H148" s="81"/>
      <c r="I148" s="81"/>
      <c r="J148" s="81"/>
      <c r="K148" s="81"/>
      <c r="L148" s="81"/>
      <c r="M148" s="81"/>
      <c r="N148" s="81"/>
      <c r="O148" s="81"/>
      <c r="P148" s="81"/>
      <c r="Q148" s="81"/>
      <c r="R148" s="81"/>
      <c r="S148" s="75" t="s">
        <v>893</v>
      </c>
      <c r="T148" s="75">
        <v>30</v>
      </c>
      <c r="U148" s="75"/>
      <c r="V148" s="81" t="s">
        <v>1082</v>
      </c>
      <c r="W148" s="80"/>
      <c r="X148" s="80"/>
      <c r="Y148" s="80"/>
      <c r="Z148" s="80"/>
      <c r="AA148" s="80"/>
      <c r="AB148" s="80"/>
      <c r="AC148" s="80"/>
      <c r="AD148" s="80"/>
      <c r="AE148" s="80"/>
      <c r="AF148" s="80"/>
      <c r="AG148" s="80"/>
      <c r="AH148" s="80"/>
      <c r="AI148" s="80"/>
      <c r="AJ148" s="80"/>
      <c r="AK148" s="80"/>
      <c r="AL148" s="80"/>
      <c r="AM148" s="80"/>
      <c r="AN148" s="80"/>
    </row>
    <row r="149" spans="1:40" x14ac:dyDescent="0.45">
      <c r="A149" s="80"/>
      <c r="B149" s="81"/>
      <c r="C149" s="81"/>
      <c r="D149" s="81"/>
      <c r="E149" s="81"/>
      <c r="F149" s="81"/>
      <c r="G149" s="81"/>
      <c r="H149" s="81"/>
      <c r="I149" s="81"/>
      <c r="J149" s="81"/>
      <c r="K149" s="81"/>
      <c r="L149" s="81"/>
      <c r="M149" s="81"/>
      <c r="N149" s="81"/>
      <c r="O149" s="81"/>
      <c r="P149" s="81"/>
      <c r="Q149" s="81"/>
      <c r="R149" s="81"/>
      <c r="S149" s="75" t="s">
        <v>895</v>
      </c>
      <c r="T149" s="75">
        <f>Segs1*(Height/LH)</f>
        <v>225000</v>
      </c>
      <c r="U149" s="75"/>
      <c r="V149" s="81" t="s">
        <v>1091</v>
      </c>
      <c r="W149" s="80"/>
      <c r="X149" s="80"/>
      <c r="Y149" s="80"/>
      <c r="Z149" s="80"/>
      <c r="AA149" s="80"/>
      <c r="AB149" s="80"/>
      <c r="AC149" s="80"/>
      <c r="AD149" s="80"/>
      <c r="AE149" s="80"/>
      <c r="AF149" s="80"/>
      <c r="AG149" s="80"/>
      <c r="AH149" s="80"/>
      <c r="AI149" s="80"/>
      <c r="AJ149" s="80"/>
      <c r="AK149" s="80"/>
      <c r="AL149" s="80"/>
      <c r="AM149" s="80"/>
      <c r="AN149" s="80"/>
    </row>
    <row r="150" spans="1:40" x14ac:dyDescent="0.45">
      <c r="A150" s="80"/>
      <c r="B150" s="81"/>
      <c r="C150" s="81"/>
      <c r="D150" s="81"/>
      <c r="E150" s="81"/>
      <c r="F150" s="81"/>
      <c r="G150" s="81"/>
      <c r="H150" s="81"/>
      <c r="I150" s="81"/>
      <c r="J150" s="81"/>
      <c r="K150" s="81"/>
      <c r="L150" s="81"/>
      <c r="M150" s="81"/>
      <c r="N150" s="81"/>
      <c r="O150" s="81"/>
      <c r="P150" s="81"/>
      <c r="Q150" s="81"/>
      <c r="R150" s="81"/>
      <c r="S150" s="75" t="s">
        <v>902</v>
      </c>
      <c r="T150" s="75">
        <v>1</v>
      </c>
      <c r="U150" s="75"/>
      <c r="V150" s="81" t="s">
        <v>1083</v>
      </c>
      <c r="W150" s="80"/>
      <c r="X150" s="80"/>
      <c r="Y150" s="80"/>
      <c r="Z150" s="80"/>
      <c r="AA150" s="80"/>
      <c r="AB150" s="80"/>
      <c r="AC150" s="80"/>
      <c r="AD150" s="80"/>
      <c r="AE150" s="80"/>
      <c r="AF150" s="80"/>
      <c r="AG150" s="80"/>
      <c r="AH150" s="80"/>
      <c r="AI150" s="80"/>
      <c r="AJ150" s="80"/>
      <c r="AK150" s="80"/>
      <c r="AL150" s="80"/>
      <c r="AM150" s="80"/>
      <c r="AN150" s="80"/>
    </row>
    <row r="151" spans="1:40" x14ac:dyDescent="0.45">
      <c r="A151" s="80"/>
      <c r="B151" s="81"/>
      <c r="C151" s="81"/>
      <c r="D151" s="81"/>
      <c r="E151" s="81"/>
      <c r="F151" s="81"/>
      <c r="G151" s="81"/>
      <c r="H151" s="81"/>
      <c r="I151" s="81"/>
      <c r="J151" s="81"/>
      <c r="K151" s="81"/>
      <c r="L151" s="81"/>
      <c r="M151" s="81"/>
      <c r="N151" s="81"/>
      <c r="O151" s="81"/>
      <c r="P151" s="81"/>
      <c r="Q151" s="81"/>
      <c r="R151" s="81"/>
      <c r="S151" s="75" t="s">
        <v>331</v>
      </c>
      <c r="T151" s="75">
        <f>Height/LH</f>
        <v>750</v>
      </c>
      <c r="U151" s="75"/>
      <c r="V151" s="81" t="s">
        <v>1091</v>
      </c>
      <c r="W151" s="80"/>
      <c r="X151" s="80"/>
      <c r="Y151" s="80"/>
      <c r="Z151" s="80"/>
      <c r="AA151" s="80"/>
      <c r="AB151" s="80"/>
      <c r="AC151" s="80"/>
      <c r="AD151" s="80"/>
      <c r="AE151" s="80"/>
      <c r="AF151" s="80"/>
      <c r="AG151" s="80"/>
      <c r="AH151" s="80"/>
      <c r="AI151" s="80"/>
      <c r="AJ151" s="80"/>
      <c r="AK151" s="80"/>
      <c r="AL151" s="80"/>
      <c r="AM151" s="80"/>
      <c r="AN151" s="80"/>
    </row>
    <row r="152" spans="1:40" x14ac:dyDescent="0.45">
      <c r="A152" s="80"/>
      <c r="B152" s="81"/>
      <c r="C152" s="81"/>
      <c r="D152" s="81"/>
      <c r="E152" s="81"/>
      <c r="F152" s="81"/>
      <c r="G152" s="81"/>
      <c r="H152" s="81"/>
      <c r="I152" s="81"/>
      <c r="J152" s="81"/>
      <c r="K152" s="81"/>
      <c r="L152" s="81"/>
      <c r="M152" s="81"/>
      <c r="N152" s="81"/>
      <c r="O152" s="81"/>
      <c r="P152" s="81"/>
      <c r="Q152" s="81"/>
      <c r="R152" s="81"/>
      <c r="S152" s="75" t="s">
        <v>906</v>
      </c>
      <c r="T152" s="75">
        <v>15</v>
      </c>
      <c r="U152" s="75" t="s">
        <v>44</v>
      </c>
      <c r="V152" s="81" t="s">
        <v>1087</v>
      </c>
      <c r="W152" s="81"/>
      <c r="X152" s="80"/>
      <c r="Y152" s="80"/>
      <c r="Z152" s="80"/>
      <c r="AA152" s="80"/>
      <c r="AB152" s="80"/>
      <c r="AC152" s="80"/>
      <c r="AD152" s="80"/>
      <c r="AE152" s="80"/>
      <c r="AF152" s="80"/>
      <c r="AG152" s="80"/>
      <c r="AH152" s="80"/>
      <c r="AI152" s="80"/>
      <c r="AJ152" s="80"/>
      <c r="AK152" s="80"/>
      <c r="AL152" s="80"/>
      <c r="AM152" s="80"/>
      <c r="AN152" s="80"/>
    </row>
    <row r="153" spans="1:40" x14ac:dyDescent="0.45">
      <c r="A153" s="80"/>
      <c r="B153" s="81"/>
      <c r="C153" s="81"/>
      <c r="D153" s="81"/>
      <c r="E153" s="81"/>
      <c r="F153" s="81"/>
      <c r="G153" s="81"/>
      <c r="H153" s="81"/>
      <c r="I153" s="81"/>
      <c r="J153" s="81"/>
      <c r="K153" s="81"/>
      <c r="L153" s="81"/>
      <c r="M153" s="81"/>
      <c r="N153" s="81"/>
      <c r="O153" s="81"/>
      <c r="P153" s="81"/>
      <c r="Q153" s="81"/>
      <c r="R153" s="81"/>
      <c r="S153" s="75" t="s">
        <v>907</v>
      </c>
      <c r="T153" s="75">
        <v>56.5</v>
      </c>
      <c r="U153" s="75" t="s">
        <v>44</v>
      </c>
      <c r="V153" s="81" t="s">
        <v>1084</v>
      </c>
      <c r="W153" s="81"/>
      <c r="X153" s="80"/>
      <c r="Y153" s="80"/>
      <c r="Z153" s="80"/>
      <c r="AA153" s="80"/>
      <c r="AB153" s="80"/>
      <c r="AC153" s="80"/>
      <c r="AD153" s="80"/>
      <c r="AE153" s="80"/>
      <c r="AF153" s="80"/>
      <c r="AG153" s="80"/>
      <c r="AH153" s="80"/>
      <c r="AI153" s="80"/>
      <c r="AJ153" s="80"/>
      <c r="AK153" s="80"/>
      <c r="AL153" s="80"/>
      <c r="AM153" s="80"/>
      <c r="AN153" s="80"/>
    </row>
    <row r="154" spans="1:40" x14ac:dyDescent="0.45">
      <c r="A154" s="80"/>
      <c r="B154" s="81"/>
      <c r="C154" s="81"/>
      <c r="D154" s="81"/>
      <c r="E154" s="81"/>
      <c r="F154" s="81"/>
      <c r="G154" s="81"/>
      <c r="H154" s="81"/>
      <c r="I154" s="81"/>
      <c r="J154" s="81"/>
      <c r="K154" s="81"/>
      <c r="L154" s="81"/>
      <c r="M154" s="81"/>
      <c r="N154" s="81"/>
      <c r="O154" s="81"/>
      <c r="P154" s="81"/>
      <c r="Q154" s="81"/>
      <c r="R154" s="81"/>
      <c r="S154" s="75" t="s">
        <v>910</v>
      </c>
      <c r="T154" s="75">
        <v>2.5</v>
      </c>
      <c r="U154" s="75"/>
      <c r="V154" s="81" t="s">
        <v>1085</v>
      </c>
      <c r="W154" s="81"/>
      <c r="X154" s="80"/>
      <c r="Y154" s="80"/>
      <c r="Z154" s="80"/>
      <c r="AA154" s="80"/>
      <c r="AB154" s="80"/>
      <c r="AC154" s="80"/>
      <c r="AD154" s="80"/>
      <c r="AE154" s="80"/>
      <c r="AF154" s="80"/>
      <c r="AG154" s="80"/>
      <c r="AH154" s="80"/>
      <c r="AI154" s="80"/>
      <c r="AJ154" s="80"/>
      <c r="AK154" s="80"/>
      <c r="AL154" s="80"/>
      <c r="AM154" s="80"/>
      <c r="AN154" s="80"/>
    </row>
    <row r="155" spans="1:40" x14ac:dyDescent="0.45">
      <c r="A155" s="80"/>
      <c r="B155" s="81"/>
      <c r="C155" s="81"/>
      <c r="D155" s="81"/>
      <c r="E155" s="81"/>
      <c r="F155" s="81"/>
      <c r="G155" s="81"/>
      <c r="H155" s="81"/>
      <c r="I155" s="81"/>
      <c r="J155" s="81"/>
      <c r="K155" s="81"/>
      <c r="L155" s="81"/>
      <c r="M155" s="81"/>
      <c r="N155" s="81"/>
      <c r="O155" s="81"/>
      <c r="P155" s="81"/>
      <c r="Q155" s="81"/>
      <c r="R155" s="81"/>
      <c r="S155" s="75" t="s">
        <v>912</v>
      </c>
      <c r="T155" s="75">
        <v>17.600000000000001</v>
      </c>
      <c r="U155" s="75" t="s">
        <v>44</v>
      </c>
      <c r="V155" s="81" t="s">
        <v>1086</v>
      </c>
      <c r="W155" s="81"/>
      <c r="X155" s="80"/>
      <c r="Y155" s="80"/>
      <c r="Z155" s="80"/>
      <c r="AA155" s="80"/>
      <c r="AB155" s="80"/>
      <c r="AC155" s="80"/>
      <c r="AD155" s="80"/>
      <c r="AE155" s="80"/>
      <c r="AF155" s="80"/>
      <c r="AG155" s="80"/>
      <c r="AH155" s="80"/>
      <c r="AI155" s="80"/>
      <c r="AJ155" s="80"/>
      <c r="AK155" s="80"/>
      <c r="AL155" s="80"/>
      <c r="AM155" s="80"/>
      <c r="AN155" s="80"/>
    </row>
    <row r="156" spans="1:40" x14ac:dyDescent="0.45">
      <c r="A156" s="80"/>
      <c r="B156" s="81"/>
      <c r="C156" s="81"/>
      <c r="D156" s="81"/>
      <c r="E156" s="81"/>
      <c r="F156" s="81"/>
      <c r="G156" s="81"/>
      <c r="H156" s="81"/>
      <c r="I156" s="81"/>
      <c r="J156" s="81"/>
      <c r="K156" s="81"/>
      <c r="L156" s="81"/>
      <c r="M156" s="81"/>
      <c r="N156" s="81"/>
      <c r="O156" s="81"/>
      <c r="P156" s="81"/>
      <c r="Q156" s="81"/>
      <c r="R156" s="81"/>
      <c r="S156" s="75" t="s">
        <v>915</v>
      </c>
      <c r="T156" s="75">
        <v>20</v>
      </c>
      <c r="U156" s="75"/>
      <c r="V156" s="81" t="s">
        <v>1088</v>
      </c>
      <c r="W156" s="81"/>
      <c r="X156" s="80"/>
      <c r="Y156" s="80"/>
      <c r="Z156" s="80"/>
      <c r="AA156" s="80"/>
      <c r="AB156" s="80"/>
      <c r="AC156" s="80"/>
      <c r="AD156" s="80"/>
      <c r="AE156" s="80"/>
      <c r="AF156" s="80"/>
      <c r="AG156" s="80"/>
      <c r="AH156" s="80"/>
      <c r="AI156" s="80"/>
      <c r="AJ156" s="80"/>
      <c r="AK156" s="80"/>
      <c r="AL156" s="80"/>
      <c r="AM156" s="80"/>
      <c r="AN156" s="80"/>
    </row>
    <row r="157" spans="1:40" x14ac:dyDescent="0.45">
      <c r="A157" s="80"/>
      <c r="B157" s="81"/>
      <c r="C157" s="81"/>
      <c r="D157" s="81"/>
      <c r="E157" s="81"/>
      <c r="F157" s="81"/>
      <c r="G157" s="81"/>
      <c r="H157" s="81"/>
      <c r="I157" s="81"/>
      <c r="J157" s="81"/>
      <c r="K157" s="81"/>
      <c r="L157" s="81"/>
      <c r="M157" s="81"/>
      <c r="N157" s="81"/>
      <c r="O157" s="81"/>
      <c r="P157" s="81"/>
      <c r="Q157" s="81"/>
      <c r="R157" s="81"/>
      <c r="S157" s="75" t="s">
        <v>1061</v>
      </c>
      <c r="T157" s="75">
        <v>22.5</v>
      </c>
      <c r="U157" s="75" t="s">
        <v>44</v>
      </c>
      <c r="V157" s="81" t="s">
        <v>1089</v>
      </c>
      <c r="W157" s="81"/>
      <c r="X157" s="80"/>
      <c r="Y157" s="80"/>
      <c r="Z157" s="80"/>
      <c r="AA157" s="80"/>
      <c r="AB157" s="80"/>
      <c r="AC157" s="80"/>
      <c r="AD157" s="80"/>
      <c r="AE157" s="80"/>
      <c r="AF157" s="80"/>
      <c r="AG157" s="80"/>
      <c r="AH157" s="80"/>
      <c r="AI157" s="80"/>
      <c r="AJ157" s="80"/>
      <c r="AK157" s="80"/>
      <c r="AL157" s="80"/>
      <c r="AM157" s="80"/>
      <c r="AN157" s="80"/>
    </row>
    <row r="158" spans="1:40" x14ac:dyDescent="0.45">
      <c r="A158" s="80"/>
      <c r="B158" s="81"/>
      <c r="C158" s="81"/>
      <c r="D158" s="81"/>
      <c r="E158" s="81"/>
      <c r="F158" s="81"/>
      <c r="G158" s="81"/>
      <c r="H158" s="81"/>
      <c r="I158" s="81"/>
      <c r="J158" s="81"/>
      <c r="K158" s="81"/>
      <c r="L158" s="81"/>
      <c r="M158" s="81"/>
      <c r="N158" s="81"/>
      <c r="O158" s="81"/>
      <c r="P158" s="81"/>
      <c r="Q158" s="81"/>
      <c r="R158" s="81"/>
      <c r="S158" s="75" t="s">
        <v>1062</v>
      </c>
      <c r="T158" s="75">
        <v>15</v>
      </c>
      <c r="U158" s="75" t="s">
        <v>44</v>
      </c>
      <c r="V158" s="81" t="s">
        <v>1090</v>
      </c>
      <c r="W158" s="81"/>
      <c r="X158" s="80"/>
      <c r="Y158" s="80"/>
      <c r="Z158" s="80"/>
      <c r="AA158" s="80"/>
      <c r="AB158" s="80"/>
      <c r="AC158" s="80"/>
      <c r="AD158" s="80"/>
      <c r="AE158" s="80"/>
      <c r="AF158" s="80"/>
      <c r="AG158" s="80"/>
      <c r="AH158" s="80"/>
      <c r="AI158" s="80"/>
      <c r="AJ158" s="80"/>
      <c r="AK158" s="80"/>
      <c r="AL158" s="80"/>
      <c r="AM158" s="80"/>
      <c r="AN158" s="80"/>
    </row>
    <row r="159" spans="1:40" x14ac:dyDescent="0.45">
      <c r="A159" s="80"/>
      <c r="B159" s="81"/>
      <c r="C159" s="81"/>
      <c r="D159" s="81"/>
      <c r="E159" s="81"/>
      <c r="F159" s="81"/>
      <c r="G159" s="81"/>
      <c r="H159" s="81"/>
      <c r="I159" s="81"/>
      <c r="J159" s="81"/>
      <c r="K159" s="81"/>
      <c r="L159" s="81"/>
      <c r="M159" s="81"/>
      <c r="N159" s="81"/>
      <c r="O159" s="81"/>
      <c r="P159" s="81"/>
      <c r="Q159" s="81"/>
      <c r="R159" s="81"/>
      <c r="S159" s="75" t="s">
        <v>953</v>
      </c>
      <c r="T159" s="75">
        <v>0.2</v>
      </c>
      <c r="U159" s="75"/>
      <c r="V159" s="81" t="s">
        <v>1070</v>
      </c>
      <c r="W159" s="81"/>
      <c r="X159" s="80"/>
      <c r="Y159" s="80"/>
      <c r="Z159" s="80"/>
      <c r="AA159" s="80"/>
      <c r="AB159" s="80"/>
      <c r="AC159" s="80"/>
      <c r="AD159" s="80"/>
      <c r="AE159" s="80"/>
      <c r="AF159" s="80"/>
      <c r="AG159" s="80"/>
      <c r="AH159" s="80"/>
      <c r="AI159" s="80"/>
      <c r="AJ159" s="80"/>
      <c r="AK159" s="80"/>
      <c r="AL159" s="80"/>
      <c r="AM159" s="80"/>
      <c r="AN159" s="80"/>
    </row>
    <row r="160" spans="1:40" x14ac:dyDescent="0.45">
      <c r="A160" s="80"/>
      <c r="B160" s="81"/>
      <c r="C160" s="81"/>
      <c r="D160" s="81"/>
      <c r="E160" s="81"/>
      <c r="F160" s="81"/>
      <c r="G160" s="81"/>
      <c r="H160" s="81"/>
      <c r="I160" s="81"/>
      <c r="J160" s="81"/>
      <c r="K160" s="81"/>
      <c r="L160" s="81"/>
      <c r="M160" s="81"/>
      <c r="N160" s="81"/>
      <c r="O160" s="81"/>
      <c r="P160" s="81"/>
      <c r="Q160" s="81"/>
      <c r="R160" s="81"/>
      <c r="S160" s="75" t="s">
        <v>1064</v>
      </c>
      <c r="T160" s="75">
        <v>34</v>
      </c>
      <c r="U160" s="75" t="s">
        <v>44</v>
      </c>
      <c r="V160" s="80" t="s">
        <v>1071</v>
      </c>
      <c r="W160" s="81"/>
      <c r="X160" s="80"/>
      <c r="Y160" s="80"/>
      <c r="Z160" s="80"/>
      <c r="AA160" s="80"/>
      <c r="AB160" s="80"/>
      <c r="AC160" s="80"/>
      <c r="AD160" s="80"/>
      <c r="AE160" s="80"/>
      <c r="AF160" s="80"/>
      <c r="AG160" s="80"/>
      <c r="AH160" s="80"/>
      <c r="AI160" s="80"/>
      <c r="AJ160" s="80"/>
      <c r="AK160" s="80"/>
      <c r="AL160" s="80"/>
      <c r="AM160" s="80"/>
      <c r="AN160" s="80"/>
    </row>
    <row r="161" spans="1:40" x14ac:dyDescent="0.45">
      <c r="A161" s="80"/>
      <c r="B161" s="81"/>
      <c r="C161" s="81"/>
      <c r="D161" s="81"/>
      <c r="E161" s="81"/>
      <c r="F161" s="81"/>
      <c r="G161" s="81"/>
      <c r="H161" s="81"/>
      <c r="I161" s="81"/>
      <c r="J161" s="81"/>
      <c r="K161" s="81"/>
      <c r="L161" s="81"/>
      <c r="M161" s="81"/>
      <c r="N161" s="81"/>
      <c r="O161" s="81"/>
      <c r="P161" s="81"/>
      <c r="Q161" s="81"/>
      <c r="R161" s="81"/>
      <c r="S161" s="75" t="s">
        <v>1065</v>
      </c>
      <c r="T161" s="75">
        <v>6</v>
      </c>
      <c r="U161" s="75"/>
      <c r="V161" s="80" t="s">
        <v>1072</v>
      </c>
      <c r="W161" s="81"/>
      <c r="X161" s="80"/>
      <c r="Y161" s="80"/>
      <c r="Z161" s="80"/>
      <c r="AA161" s="80"/>
      <c r="AB161" s="80"/>
      <c r="AC161" s="80"/>
      <c r="AD161" s="80"/>
      <c r="AE161" s="80"/>
      <c r="AF161" s="80"/>
      <c r="AG161" s="80"/>
      <c r="AH161" s="80"/>
      <c r="AI161" s="80"/>
      <c r="AJ161" s="80"/>
      <c r="AK161" s="80"/>
      <c r="AL161" s="80"/>
      <c r="AM161" s="80"/>
      <c r="AN161" s="80"/>
    </row>
    <row r="162" spans="1:40" x14ac:dyDescent="0.45">
      <c r="A162" s="80"/>
      <c r="B162" s="81"/>
      <c r="C162" s="81"/>
      <c r="D162" s="81"/>
      <c r="E162" s="81"/>
      <c r="F162" s="81"/>
      <c r="G162" s="81"/>
      <c r="H162" s="81"/>
      <c r="I162" s="81"/>
      <c r="J162" s="81"/>
      <c r="K162" s="81"/>
      <c r="L162" s="81"/>
      <c r="M162" s="81"/>
      <c r="N162" s="81"/>
      <c r="O162" s="81"/>
      <c r="P162" s="81"/>
      <c r="Q162" s="81"/>
      <c r="R162" s="81"/>
      <c r="S162" s="75" t="s">
        <v>1063</v>
      </c>
      <c r="T162" s="75">
        <v>20</v>
      </c>
      <c r="U162" s="75" t="s">
        <v>44</v>
      </c>
      <c r="V162" s="80" t="s">
        <v>1073</v>
      </c>
      <c r="W162" s="81"/>
      <c r="X162" s="80"/>
      <c r="Y162" s="80"/>
      <c r="Z162" s="80"/>
      <c r="AA162" s="80"/>
      <c r="AB162" s="80"/>
      <c r="AC162" s="80"/>
      <c r="AD162" s="80"/>
      <c r="AE162" s="80"/>
      <c r="AF162" s="80"/>
      <c r="AG162" s="80"/>
      <c r="AH162" s="80"/>
      <c r="AI162" s="80"/>
      <c r="AJ162" s="80"/>
      <c r="AK162" s="80"/>
      <c r="AL162" s="80"/>
      <c r="AM162" s="80"/>
      <c r="AN162" s="80"/>
    </row>
    <row r="163" spans="1:40" x14ac:dyDescent="0.45">
      <c r="A163" s="80"/>
      <c r="B163" s="80"/>
      <c r="C163" s="80"/>
      <c r="D163" s="80"/>
      <c r="E163" s="80"/>
      <c r="F163" s="80"/>
      <c r="G163" s="80"/>
      <c r="H163" s="80"/>
      <c r="I163" s="80"/>
      <c r="J163" s="80"/>
      <c r="K163" s="80"/>
      <c r="L163" s="80"/>
      <c r="M163" s="80"/>
      <c r="N163" s="80"/>
      <c r="O163" s="80"/>
      <c r="P163" s="80"/>
      <c r="Q163" s="80"/>
      <c r="R163" s="80"/>
      <c r="S163" s="75" t="s">
        <v>1066</v>
      </c>
      <c r="T163" s="75">
        <v>1</v>
      </c>
      <c r="U163" s="75" t="s">
        <v>44</v>
      </c>
      <c r="V163" s="80" t="s">
        <v>1074</v>
      </c>
      <c r="W163" s="80"/>
      <c r="X163" s="80"/>
      <c r="Y163" s="80"/>
      <c r="Z163" s="80"/>
      <c r="AA163" s="80"/>
      <c r="AB163" s="80"/>
      <c r="AC163" s="80"/>
      <c r="AD163" s="80"/>
      <c r="AE163" s="80"/>
      <c r="AF163" s="80"/>
      <c r="AG163" s="80"/>
      <c r="AH163" s="80"/>
      <c r="AI163" s="80"/>
      <c r="AJ163" s="80"/>
      <c r="AK163" s="80"/>
      <c r="AL163" s="80"/>
      <c r="AM163" s="80"/>
      <c r="AN163" s="80"/>
    </row>
    <row r="164" spans="1:40" x14ac:dyDescent="0.45">
      <c r="A164" s="80"/>
      <c r="B164" s="80"/>
      <c r="C164" s="80"/>
      <c r="D164" s="80"/>
      <c r="E164" s="80"/>
      <c r="F164" s="80"/>
      <c r="G164" s="80"/>
      <c r="H164" s="80"/>
      <c r="I164" s="80"/>
      <c r="J164" s="80"/>
      <c r="K164" s="80"/>
      <c r="L164" s="80"/>
      <c r="M164" s="80"/>
      <c r="N164" s="80"/>
      <c r="O164" s="80"/>
      <c r="P164" s="80"/>
      <c r="Q164" s="80"/>
      <c r="R164" s="80"/>
      <c r="S164" s="75" t="s">
        <v>1067</v>
      </c>
      <c r="T164" s="75">
        <v>5</v>
      </c>
      <c r="U164" s="75" t="s">
        <v>44</v>
      </c>
      <c r="V164" s="80" t="s">
        <v>1075</v>
      </c>
      <c r="W164" s="80"/>
      <c r="X164" s="80"/>
      <c r="Y164" s="80"/>
      <c r="Z164" s="80"/>
      <c r="AA164" s="80"/>
      <c r="AB164" s="80"/>
      <c r="AC164" s="80"/>
      <c r="AD164" s="80"/>
      <c r="AE164" s="80"/>
      <c r="AF164" s="80"/>
      <c r="AG164" s="80"/>
      <c r="AH164" s="80"/>
      <c r="AI164" s="80"/>
      <c r="AJ164" s="80"/>
      <c r="AK164" s="80"/>
      <c r="AL164" s="80"/>
      <c r="AM164" s="80"/>
      <c r="AN164" s="80"/>
    </row>
    <row r="165" spans="1:40" x14ac:dyDescent="0.45">
      <c r="A165" s="80"/>
      <c r="B165" s="80"/>
      <c r="C165" s="80"/>
      <c r="D165" s="80"/>
      <c r="E165" s="80"/>
      <c r="F165" s="80"/>
      <c r="G165" s="80"/>
      <c r="H165" s="80"/>
      <c r="I165" s="80"/>
      <c r="J165" s="80"/>
      <c r="K165" s="80"/>
      <c r="L165" s="80"/>
      <c r="M165" s="80"/>
      <c r="N165" s="80"/>
      <c r="O165" s="80"/>
      <c r="P165" s="80"/>
      <c r="Q165" s="80"/>
      <c r="R165" s="80"/>
      <c r="S165" s="75" t="s">
        <v>1059</v>
      </c>
      <c r="T165" s="75">
        <v>0.5</v>
      </c>
      <c r="U165" s="75" t="s">
        <v>44</v>
      </c>
      <c r="V165" s="80" t="s">
        <v>1076</v>
      </c>
      <c r="W165" s="80"/>
      <c r="X165" s="80"/>
      <c r="Y165" s="80"/>
      <c r="Z165" s="80"/>
      <c r="AA165" s="80"/>
      <c r="AB165" s="80"/>
      <c r="AC165" s="80"/>
      <c r="AD165" s="80"/>
      <c r="AE165" s="80"/>
      <c r="AF165" s="80"/>
      <c r="AG165" s="80"/>
      <c r="AH165" s="80"/>
      <c r="AI165" s="80"/>
      <c r="AJ165" s="80"/>
      <c r="AK165" s="80"/>
      <c r="AL165" s="80"/>
      <c r="AM165" s="80"/>
      <c r="AN165" s="80"/>
    </row>
    <row r="166" spans="1:40" x14ac:dyDescent="0.45">
      <c r="A166" s="80"/>
      <c r="B166" s="80"/>
      <c r="C166" s="80"/>
      <c r="D166" s="80"/>
      <c r="E166" s="80"/>
      <c r="F166" s="80"/>
      <c r="G166" s="80"/>
      <c r="H166" s="80"/>
      <c r="I166" s="80"/>
      <c r="J166" s="80"/>
      <c r="K166" s="80"/>
      <c r="L166" s="80"/>
      <c r="M166" s="80"/>
      <c r="N166" s="80"/>
      <c r="O166" s="80"/>
      <c r="P166" s="80"/>
      <c r="Q166" s="80"/>
      <c r="R166" s="80"/>
      <c r="S166" s="75" t="s">
        <v>1060</v>
      </c>
      <c r="T166" s="75">
        <v>30</v>
      </c>
      <c r="U166" s="75"/>
      <c r="V166" s="80" t="s">
        <v>1077</v>
      </c>
      <c r="W166" s="80"/>
      <c r="X166" s="80"/>
      <c r="Y166" s="80"/>
      <c r="Z166" s="80"/>
      <c r="AA166" s="80"/>
      <c r="AB166" s="80"/>
      <c r="AC166" s="80"/>
      <c r="AD166" s="80"/>
      <c r="AE166" s="80"/>
      <c r="AF166" s="80"/>
      <c r="AG166" s="80"/>
      <c r="AH166" s="80"/>
      <c r="AI166" s="80"/>
      <c r="AJ166" s="80"/>
      <c r="AK166" s="80"/>
      <c r="AL166" s="80"/>
      <c r="AM166" s="80"/>
      <c r="AN166" s="80"/>
    </row>
    <row r="167" spans="1:40" x14ac:dyDescent="0.45">
      <c r="A167" s="80"/>
      <c r="B167" s="80"/>
      <c r="C167" s="80"/>
      <c r="D167" s="80"/>
      <c r="E167" s="80"/>
      <c r="F167" s="80"/>
      <c r="G167" s="80"/>
      <c r="H167" s="80"/>
      <c r="I167" s="80"/>
      <c r="J167" s="80"/>
      <c r="K167" s="80"/>
      <c r="L167" s="80"/>
      <c r="M167" s="80"/>
      <c r="N167" s="80"/>
      <c r="O167" s="80"/>
      <c r="P167" s="80"/>
      <c r="Q167" s="80"/>
      <c r="R167" s="80"/>
      <c r="S167" s="75" t="s">
        <v>1068</v>
      </c>
      <c r="T167" s="75">
        <v>0.02</v>
      </c>
      <c r="U167" s="75" t="s">
        <v>1069</v>
      </c>
      <c r="V167" s="80" t="s">
        <v>1078</v>
      </c>
      <c r="W167" s="80"/>
      <c r="X167" s="80"/>
      <c r="Y167" s="80"/>
      <c r="Z167" s="80"/>
      <c r="AA167" s="80"/>
      <c r="AB167" s="80"/>
      <c r="AC167" s="80"/>
      <c r="AD167" s="80"/>
      <c r="AE167" s="80"/>
      <c r="AF167" s="80"/>
      <c r="AG167" s="80"/>
      <c r="AH167" s="80"/>
      <c r="AI167" s="80"/>
      <c r="AJ167" s="80"/>
      <c r="AK167" s="80"/>
      <c r="AL167" s="80"/>
      <c r="AM167" s="80"/>
      <c r="AN167"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25" x14ac:dyDescent="0.45"/>
  <sheetData>
    <row r="3" spans="1:46" x14ac:dyDescent="0.45">
      <c r="A3" s="58" t="s">
        <v>162</v>
      </c>
      <c r="B3" s="2" t="s">
        <v>379</v>
      </c>
      <c r="C3" s="58" t="s">
        <v>161</v>
      </c>
      <c r="D3" s="2" t="s">
        <v>380</v>
      </c>
      <c r="U3" s="89"/>
      <c r="AO3" t="s">
        <v>163</v>
      </c>
      <c r="AP3" t="s">
        <v>381</v>
      </c>
      <c r="AQ3" t="s">
        <v>162</v>
      </c>
      <c r="AR3" t="s">
        <v>379</v>
      </c>
      <c r="AS3" t="s">
        <v>161</v>
      </c>
      <c r="AT3" t="s">
        <v>380</v>
      </c>
    </row>
    <row r="4" spans="1:46" x14ac:dyDescent="0.45">
      <c r="A4" s="40" t="s">
        <v>0</v>
      </c>
      <c r="B4" s="2"/>
      <c r="C4" s="2"/>
      <c r="D4" s="2"/>
      <c r="E4" s="2"/>
      <c r="F4" s="2"/>
      <c r="G4" s="2"/>
      <c r="H4" s="2"/>
      <c r="I4" s="2"/>
      <c r="J4" s="2"/>
      <c r="K4" s="2"/>
      <c r="L4" s="2"/>
      <c r="M4" s="2"/>
      <c r="N4" s="2"/>
      <c r="O4" s="2"/>
      <c r="P4" s="2"/>
      <c r="Q4" s="58" t="s">
        <v>322</v>
      </c>
      <c r="U4" s="89"/>
    </row>
    <row r="5" spans="1:46" x14ac:dyDescent="0.45">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45">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45">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45">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45">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45">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45">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45">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45">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45">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45">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45">
      <c r="A16" s="2">
        <v>12</v>
      </c>
      <c r="B16" s="2"/>
      <c r="C16" s="2"/>
      <c r="D16" s="2"/>
      <c r="E16" s="2"/>
      <c r="F16" s="2"/>
      <c r="G16" s="2"/>
      <c r="H16" s="2"/>
      <c r="I16" s="2"/>
      <c r="J16" s="2"/>
      <c r="K16" s="2"/>
      <c r="L16" s="2"/>
      <c r="M16" s="2"/>
      <c r="N16" s="2"/>
      <c r="O16" s="2"/>
      <c r="P16" s="2"/>
      <c r="Q16" s="2"/>
      <c r="S16" s="5" t="s">
        <v>42</v>
      </c>
      <c r="T16" s="5">
        <v>2.85</v>
      </c>
      <c r="U16" s="5" t="s">
        <v>44</v>
      </c>
    </row>
    <row r="17" spans="1:32" x14ac:dyDescent="0.45">
      <c r="A17" s="2">
        <v>13</v>
      </c>
      <c r="B17" s="2"/>
      <c r="C17" s="2"/>
      <c r="D17" s="2"/>
      <c r="E17" s="2"/>
      <c r="F17" s="2"/>
      <c r="G17" s="2"/>
      <c r="H17" s="2"/>
      <c r="I17" s="2"/>
      <c r="J17" s="2"/>
      <c r="K17" s="2"/>
      <c r="L17" s="2"/>
      <c r="M17" s="2"/>
      <c r="N17" s="2"/>
      <c r="O17" s="2"/>
      <c r="P17" s="2"/>
      <c r="Q17" s="2"/>
      <c r="S17" s="5" t="s">
        <v>46</v>
      </c>
      <c r="T17" s="5" t="s">
        <v>82</v>
      </c>
      <c r="U17" s="5" t="s">
        <v>91</v>
      </c>
    </row>
    <row r="18" spans="1:32" x14ac:dyDescent="0.45">
      <c r="A18" s="2">
        <v>14</v>
      </c>
      <c r="B18" s="2"/>
      <c r="C18" s="2"/>
      <c r="D18" s="2"/>
      <c r="E18" s="2"/>
      <c r="F18" s="2"/>
      <c r="G18" s="2"/>
      <c r="H18" s="2"/>
      <c r="I18" s="2"/>
      <c r="J18" s="2"/>
      <c r="K18" s="2"/>
      <c r="L18" s="2"/>
      <c r="M18" s="2"/>
      <c r="N18" s="2"/>
      <c r="O18" s="2"/>
      <c r="P18" s="2"/>
      <c r="Q18" s="2"/>
      <c r="S18" s="5" t="s">
        <v>125</v>
      </c>
      <c r="T18" s="5" t="s">
        <v>186</v>
      </c>
      <c r="U18" s="5"/>
    </row>
    <row r="19" spans="1:32" x14ac:dyDescent="0.45">
      <c r="A19" s="2">
        <v>15</v>
      </c>
      <c r="B19" s="2"/>
      <c r="C19" s="2"/>
      <c r="D19" s="2"/>
      <c r="E19" s="2"/>
      <c r="F19" s="2"/>
      <c r="G19" s="2"/>
      <c r="H19" s="2"/>
      <c r="I19" s="2"/>
      <c r="J19" s="2"/>
      <c r="K19" s="2"/>
      <c r="L19" s="2"/>
      <c r="M19" s="2"/>
      <c r="N19" s="2"/>
      <c r="O19" s="2"/>
      <c r="P19" s="2"/>
      <c r="Q19" s="2"/>
      <c r="S19" s="5" t="s">
        <v>185</v>
      </c>
      <c r="T19" s="5" t="s">
        <v>156</v>
      </c>
      <c r="U19" s="5"/>
    </row>
    <row r="20" spans="1:32" x14ac:dyDescent="0.4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4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4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4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4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4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45">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45">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4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45">
      <c r="A37" s="58" t="s">
        <v>162</v>
      </c>
      <c r="B37" s="2" t="s">
        <v>404</v>
      </c>
      <c r="C37" s="58" t="s">
        <v>161</v>
      </c>
      <c r="D37" s="2" t="s">
        <v>380</v>
      </c>
      <c r="U37" s="89"/>
      <c r="AO37" t="s">
        <v>163</v>
      </c>
      <c r="AP37" t="s">
        <v>405</v>
      </c>
      <c r="AQ37" t="s">
        <v>162</v>
      </c>
      <c r="AR37" t="s">
        <v>404</v>
      </c>
      <c r="AS37" t="s">
        <v>161</v>
      </c>
      <c r="AT37" t="s">
        <v>380</v>
      </c>
    </row>
    <row r="38" spans="1:46" x14ac:dyDescent="0.45">
      <c r="A38" s="40" t="s">
        <v>0</v>
      </c>
      <c r="B38" s="2"/>
      <c r="C38" s="2"/>
      <c r="D38" s="2"/>
      <c r="E38" s="2"/>
      <c r="F38" s="2"/>
      <c r="G38" s="2"/>
      <c r="H38" s="2"/>
      <c r="I38" s="2"/>
      <c r="J38" s="2"/>
      <c r="K38" s="2"/>
      <c r="L38" s="2"/>
      <c r="M38" s="2"/>
      <c r="N38" s="2"/>
      <c r="O38" s="2"/>
      <c r="P38" s="2"/>
      <c r="Q38" s="58" t="s">
        <v>322</v>
      </c>
      <c r="U38" s="89"/>
    </row>
    <row r="39" spans="1:46" x14ac:dyDescent="0.45">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45">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45">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45">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45">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45">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45">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45">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45">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45">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45">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45">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45">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45">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45">
      <c r="A53" s="2">
        <v>15</v>
      </c>
      <c r="B53" s="2"/>
      <c r="C53" s="2"/>
      <c r="D53" s="2"/>
      <c r="E53" s="2"/>
      <c r="F53" s="2"/>
      <c r="G53" s="2"/>
      <c r="H53" s="2"/>
      <c r="I53" s="2"/>
      <c r="J53" s="2"/>
      <c r="K53" s="2"/>
      <c r="L53" s="2"/>
      <c r="M53" s="2"/>
      <c r="N53" s="2"/>
      <c r="O53" s="2"/>
      <c r="P53" s="2"/>
      <c r="Q53" s="2"/>
      <c r="S53" s="5" t="s">
        <v>185</v>
      </c>
      <c r="T53" s="5" t="s">
        <v>156</v>
      </c>
      <c r="U53" s="5"/>
    </row>
    <row r="54" spans="1:22" x14ac:dyDescent="0.45">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45">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45">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45">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45">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45">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45">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45">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45">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45">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45">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45">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4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45">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45">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45">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45">
      <c r="A71" s="58" t="s">
        <v>162</v>
      </c>
      <c r="B71" s="2" t="s">
        <v>408</v>
      </c>
      <c r="C71" s="58" t="s">
        <v>161</v>
      </c>
      <c r="D71" s="2" t="s">
        <v>380</v>
      </c>
      <c r="U71" s="89"/>
      <c r="AO71" t="s">
        <v>163</v>
      </c>
      <c r="AP71" t="s">
        <v>409</v>
      </c>
      <c r="AQ71" t="s">
        <v>162</v>
      </c>
      <c r="AR71" t="s">
        <v>408</v>
      </c>
      <c r="AS71" t="s">
        <v>161</v>
      </c>
      <c r="AT71" t="s">
        <v>380</v>
      </c>
    </row>
    <row r="72" spans="1:46" x14ac:dyDescent="0.45">
      <c r="A72" s="40" t="s">
        <v>0</v>
      </c>
      <c r="B72" s="2"/>
      <c r="C72" s="2"/>
      <c r="D72" s="2"/>
      <c r="E72" s="2"/>
      <c r="F72" s="2"/>
      <c r="G72" s="2"/>
      <c r="H72" s="2"/>
      <c r="I72" s="2"/>
      <c r="J72" s="2"/>
      <c r="K72" s="2"/>
      <c r="L72" s="2"/>
      <c r="M72" s="2"/>
      <c r="N72" s="2"/>
      <c r="O72" s="2"/>
      <c r="P72" s="2"/>
      <c r="Q72" s="58" t="s">
        <v>322</v>
      </c>
      <c r="U72" s="89"/>
    </row>
    <row r="73" spans="1:46" x14ac:dyDescent="0.45">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45">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45">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45">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45">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45">
      <c r="A78" s="2">
        <v>6</v>
      </c>
      <c r="B78" s="2"/>
      <c r="C78" s="2"/>
      <c r="D78" s="2"/>
      <c r="E78" s="2"/>
      <c r="F78" s="2"/>
      <c r="G78" s="2"/>
      <c r="H78" s="2"/>
      <c r="I78" s="2"/>
      <c r="J78" s="2"/>
      <c r="K78" s="2"/>
      <c r="L78" s="2"/>
      <c r="M78" s="2"/>
      <c r="N78" s="2"/>
      <c r="O78" s="2"/>
      <c r="P78" s="2"/>
      <c r="Q78" s="2"/>
      <c r="S78" s="5" t="s">
        <v>227</v>
      </c>
      <c r="T78" s="5">
        <v>0</v>
      </c>
      <c r="U78" s="5"/>
    </row>
    <row r="79" spans="1:46" x14ac:dyDescent="0.45">
      <c r="A79" s="2">
        <v>7</v>
      </c>
      <c r="B79" s="2"/>
      <c r="C79" s="2"/>
      <c r="D79" s="2"/>
      <c r="E79" s="2"/>
      <c r="F79" s="2"/>
      <c r="G79" s="2"/>
      <c r="H79" s="2"/>
      <c r="I79" s="2"/>
      <c r="J79" s="2"/>
      <c r="K79" s="2"/>
      <c r="L79" s="2"/>
      <c r="M79" s="2"/>
      <c r="N79" s="2"/>
      <c r="O79" s="2"/>
      <c r="P79" s="2"/>
      <c r="Q79" s="2"/>
      <c r="S79" s="57"/>
      <c r="T79" s="57"/>
      <c r="U79" s="90"/>
    </row>
    <row r="80" spans="1:46" x14ac:dyDescent="0.45">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45">
      <c r="A81" s="2">
        <v>9</v>
      </c>
      <c r="B81" s="2"/>
      <c r="C81" s="2"/>
      <c r="D81" s="2"/>
      <c r="E81" s="2"/>
      <c r="F81" s="2"/>
      <c r="G81" s="2"/>
      <c r="H81" s="2"/>
      <c r="I81" s="2"/>
      <c r="J81" s="2"/>
      <c r="K81" s="2"/>
      <c r="L81" s="2"/>
      <c r="M81" s="2"/>
      <c r="N81" s="2"/>
      <c r="O81" s="2"/>
      <c r="P81" s="2"/>
      <c r="Q81" s="2"/>
      <c r="S81" s="5" t="s">
        <v>86</v>
      </c>
      <c r="T81" s="5">
        <v>1000</v>
      </c>
      <c r="U81" s="5" t="s">
        <v>45</v>
      </c>
    </row>
    <row r="82" spans="1:22" x14ac:dyDescent="0.45">
      <c r="A82" s="2">
        <v>10</v>
      </c>
      <c r="B82" s="2"/>
      <c r="C82" s="2"/>
      <c r="D82" s="2"/>
      <c r="E82" s="2"/>
      <c r="F82" s="2"/>
      <c r="G82" s="2"/>
      <c r="H82" s="2"/>
      <c r="I82" s="2"/>
      <c r="J82" s="2"/>
      <c r="K82" s="2"/>
      <c r="L82" s="2"/>
      <c r="M82" s="2"/>
      <c r="N82" s="2"/>
      <c r="O82" s="2"/>
      <c r="P82" s="2"/>
      <c r="Q82" s="2"/>
      <c r="S82" s="5" t="s">
        <v>87</v>
      </c>
      <c r="T82" s="5">
        <v>9000</v>
      </c>
      <c r="U82" s="5" t="s">
        <v>45</v>
      </c>
    </row>
    <row r="83" spans="1:22" x14ac:dyDescent="0.4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45">
      <c r="A84" s="2">
        <v>12</v>
      </c>
      <c r="B84" s="2"/>
      <c r="C84" s="2"/>
      <c r="D84" s="2"/>
      <c r="E84" s="2"/>
      <c r="F84" s="2"/>
      <c r="G84" s="2"/>
      <c r="H84" s="2"/>
      <c r="I84" s="2"/>
      <c r="J84" s="2"/>
      <c r="K84" s="2"/>
      <c r="L84" s="2"/>
      <c r="M84" s="2"/>
      <c r="N84" s="2"/>
      <c r="O84" s="2"/>
      <c r="P84" s="2"/>
      <c r="Q84" s="2"/>
      <c r="S84" s="5" t="s">
        <v>42</v>
      </c>
      <c r="T84" s="5">
        <v>2.85</v>
      </c>
      <c r="U84" s="5" t="s">
        <v>44</v>
      </c>
    </row>
    <row r="85" spans="1:22" x14ac:dyDescent="0.45">
      <c r="A85" s="2">
        <v>13</v>
      </c>
      <c r="B85" s="2"/>
      <c r="C85" s="2"/>
      <c r="D85" s="2"/>
      <c r="E85" s="2"/>
      <c r="F85" s="2"/>
      <c r="G85" s="2"/>
      <c r="H85" s="2"/>
      <c r="I85" s="2"/>
      <c r="J85" s="2"/>
      <c r="K85" s="2"/>
      <c r="L85" s="2"/>
      <c r="M85" s="2"/>
      <c r="N85" s="2"/>
      <c r="O85" s="2"/>
      <c r="P85" s="2"/>
      <c r="Q85" s="2"/>
      <c r="S85" s="5" t="s">
        <v>46</v>
      </c>
      <c r="T85" s="5" t="s">
        <v>82</v>
      </c>
      <c r="U85" s="5" t="s">
        <v>91</v>
      </c>
    </row>
    <row r="86" spans="1:22" x14ac:dyDescent="0.45">
      <c r="A86" s="2">
        <v>14</v>
      </c>
      <c r="B86" s="2"/>
      <c r="C86" s="2"/>
      <c r="D86" s="2"/>
      <c r="E86" s="2"/>
      <c r="F86" s="2"/>
      <c r="G86" s="2"/>
      <c r="H86" s="2"/>
      <c r="I86" s="2"/>
      <c r="J86" s="2"/>
      <c r="K86" s="2"/>
      <c r="L86" s="2"/>
      <c r="M86" s="2"/>
      <c r="N86" s="2"/>
      <c r="O86" s="2"/>
      <c r="P86" s="2"/>
      <c r="Q86" s="2"/>
      <c r="S86" s="5" t="s">
        <v>125</v>
      </c>
      <c r="T86" s="5" t="s">
        <v>186</v>
      </c>
      <c r="U86" s="5"/>
    </row>
    <row r="87" spans="1:22" x14ac:dyDescent="0.45">
      <c r="A87" s="2">
        <v>15</v>
      </c>
      <c r="B87" s="2"/>
      <c r="C87" s="2"/>
      <c r="D87" s="2"/>
      <c r="E87" s="2"/>
      <c r="F87" s="2"/>
      <c r="G87" s="2"/>
      <c r="H87" s="2"/>
      <c r="I87" s="2"/>
      <c r="J87" s="2"/>
      <c r="K87" s="2"/>
      <c r="L87" s="2"/>
      <c r="M87" s="2"/>
      <c r="N87" s="2"/>
      <c r="O87" s="2"/>
      <c r="P87" s="2"/>
      <c r="Q87" s="2"/>
      <c r="S87" s="5" t="s">
        <v>185</v>
      </c>
      <c r="T87" s="5" t="s">
        <v>156</v>
      </c>
      <c r="U87" s="5"/>
    </row>
    <row r="88" spans="1:22" x14ac:dyDescent="0.45">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45">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45">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45">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45">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45">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45">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45">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45">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45">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45">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45">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4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45">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45">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45">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45">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45">
      <c r="A106" s="40" t="s">
        <v>0</v>
      </c>
      <c r="B106" s="41"/>
      <c r="C106" s="18"/>
      <c r="D106" s="18"/>
      <c r="E106" s="18"/>
      <c r="F106" s="18"/>
      <c r="G106" s="18"/>
      <c r="H106" s="18"/>
      <c r="I106" s="18"/>
      <c r="J106" s="18"/>
      <c r="K106" s="18"/>
      <c r="L106" s="18"/>
      <c r="M106" s="18"/>
      <c r="N106" s="18"/>
      <c r="O106" s="18"/>
      <c r="P106" s="18"/>
      <c r="Q106" s="58" t="s">
        <v>322</v>
      </c>
      <c r="U106" s="89"/>
    </row>
    <row r="107" spans="1:46" x14ac:dyDescent="0.45">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45">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45">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45">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45">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45">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45">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45">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45">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45">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45">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45">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45">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45">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45">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45">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45">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45">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45">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45">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45">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45">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45">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45">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45">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45">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45">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4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45">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25" x14ac:dyDescent="0.45"/>
  <cols>
    <col min="21" max="21" width="9.1328125" style="89"/>
  </cols>
  <sheetData>
    <row r="3" spans="1:46" x14ac:dyDescent="0.45">
      <c r="A3" s="58" t="s">
        <v>162</v>
      </c>
      <c r="B3" s="2" t="s">
        <v>320</v>
      </c>
      <c r="C3" s="58" t="s">
        <v>161</v>
      </c>
      <c r="D3" s="2" t="s">
        <v>367</v>
      </c>
      <c r="AO3" t="s">
        <v>163</v>
      </c>
      <c r="AP3" t="s">
        <v>321</v>
      </c>
      <c r="AQ3" t="s">
        <v>162</v>
      </c>
      <c r="AR3" t="s">
        <v>320</v>
      </c>
      <c r="AS3" t="s">
        <v>161</v>
      </c>
      <c r="AT3" t="s">
        <v>367</v>
      </c>
    </row>
    <row r="4" spans="1:46" x14ac:dyDescent="0.45">
      <c r="A4" s="40" t="s">
        <v>0</v>
      </c>
      <c r="B4" s="2"/>
      <c r="C4" s="2"/>
      <c r="D4" s="2"/>
      <c r="E4" s="2"/>
      <c r="F4" s="2"/>
      <c r="G4" s="2"/>
      <c r="H4" s="2"/>
      <c r="I4" s="2"/>
      <c r="J4" s="2"/>
      <c r="K4" s="2"/>
      <c r="L4" s="2"/>
      <c r="M4" s="2"/>
      <c r="N4" s="2"/>
      <c r="O4" s="2"/>
      <c r="P4" s="2"/>
      <c r="Q4" s="58" t="s">
        <v>322</v>
      </c>
    </row>
    <row r="5" spans="1:46" x14ac:dyDescent="0.45">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f>_xlfn.SINGLE(Height)</f>
        <v>150</v>
      </c>
      <c r="M5" s="10"/>
      <c r="N5" s="10"/>
      <c r="O5" s="10"/>
      <c r="P5" s="10"/>
      <c r="Q5" s="11" t="s">
        <v>310</v>
      </c>
      <c r="S5" s="95" t="s">
        <v>40</v>
      </c>
      <c r="T5" s="3"/>
      <c r="U5" s="5"/>
    </row>
    <row r="6" spans="1:46" x14ac:dyDescent="0.45">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f>_xlfn.SINGLE(Height)</f>
        <v>150</v>
      </c>
      <c r="M6" s="12"/>
      <c r="N6" s="12"/>
      <c r="O6" s="12"/>
      <c r="P6" s="12"/>
      <c r="Q6" s="13" t="s">
        <v>311</v>
      </c>
      <c r="S6" s="5" t="s">
        <v>115</v>
      </c>
      <c r="T6" s="5">
        <v>0.2</v>
      </c>
      <c r="U6" s="5" t="s">
        <v>44</v>
      </c>
    </row>
    <row r="7" spans="1:46" x14ac:dyDescent="0.45">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45">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45">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45">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45">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45">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5" customHeight="1" x14ac:dyDescent="0.45">
      <c r="A13" s="2">
        <v>9</v>
      </c>
      <c r="B13" s="29"/>
      <c r="C13" s="159" t="s">
        <v>375</v>
      </c>
      <c r="D13" s="159"/>
      <c r="E13" s="159"/>
      <c r="F13" s="159"/>
      <c r="G13" s="159"/>
      <c r="H13" s="159"/>
      <c r="I13" s="159"/>
      <c r="J13" s="159"/>
      <c r="K13" s="159"/>
      <c r="L13" s="159"/>
      <c r="M13" s="159"/>
      <c r="N13" s="159"/>
      <c r="O13" s="29"/>
      <c r="P13" s="29"/>
      <c r="Q13" s="29"/>
      <c r="S13" s="5" t="s">
        <v>86</v>
      </c>
      <c r="T13" s="5">
        <v>1000</v>
      </c>
      <c r="U13" s="5" t="s">
        <v>45</v>
      </c>
    </row>
    <row r="14" spans="1:46" x14ac:dyDescent="0.45">
      <c r="A14" s="2">
        <v>10</v>
      </c>
      <c r="B14" s="29"/>
      <c r="C14" s="159" t="s">
        <v>369</v>
      </c>
      <c r="D14" s="159"/>
      <c r="E14" s="159"/>
      <c r="F14" s="159"/>
      <c r="G14" s="159"/>
      <c r="H14" s="159"/>
      <c r="I14" s="159"/>
      <c r="J14" s="159"/>
      <c r="K14" s="159"/>
      <c r="L14" s="159"/>
      <c r="M14" s="159"/>
      <c r="N14" s="159"/>
      <c r="O14" s="29"/>
      <c r="P14" s="29"/>
      <c r="Q14" s="29"/>
      <c r="S14" s="5" t="s">
        <v>87</v>
      </c>
      <c r="T14" s="5">
        <v>9000</v>
      </c>
      <c r="U14" s="5" t="s">
        <v>45</v>
      </c>
    </row>
    <row r="15" spans="1:46" x14ac:dyDescent="0.45">
      <c r="A15" s="2">
        <v>11</v>
      </c>
      <c r="B15" s="29"/>
      <c r="C15" s="160" t="s">
        <v>370</v>
      </c>
      <c r="D15" s="160"/>
      <c r="E15" s="160"/>
      <c r="F15" s="160"/>
      <c r="G15" s="160"/>
      <c r="H15" s="160"/>
      <c r="I15" s="160"/>
      <c r="J15" s="160"/>
      <c r="K15" s="160"/>
      <c r="L15" s="160"/>
      <c r="M15" s="160"/>
      <c r="N15" s="160"/>
      <c r="O15" s="29"/>
      <c r="P15" s="29"/>
      <c r="Q15" s="29"/>
      <c r="S15" s="5" t="s">
        <v>41</v>
      </c>
      <c r="T15" s="5">
        <v>210</v>
      </c>
      <c r="U15" s="5" t="s">
        <v>43</v>
      </c>
      <c r="V15" s="1"/>
    </row>
    <row r="16" spans="1:46" x14ac:dyDescent="0.45">
      <c r="A16" s="2">
        <v>12</v>
      </c>
      <c r="B16" s="29"/>
      <c r="C16" s="160" t="s">
        <v>710</v>
      </c>
      <c r="D16" s="160"/>
      <c r="E16" s="160"/>
      <c r="F16" s="160"/>
      <c r="G16" s="160"/>
      <c r="H16" s="160"/>
      <c r="I16" s="160"/>
      <c r="J16" s="160"/>
      <c r="K16" s="160"/>
      <c r="L16" s="160"/>
      <c r="M16" s="160"/>
      <c r="N16" s="160"/>
      <c r="O16" s="29"/>
      <c r="P16" s="29"/>
      <c r="Q16" s="29"/>
      <c r="S16" s="5" t="s">
        <v>42</v>
      </c>
      <c r="T16" s="5">
        <v>2.85</v>
      </c>
      <c r="U16" s="5" t="s">
        <v>44</v>
      </c>
    </row>
    <row r="17" spans="1:32" x14ac:dyDescent="0.45">
      <c r="A17" s="2">
        <v>13</v>
      </c>
      <c r="B17" s="29"/>
      <c r="C17" s="160" t="s">
        <v>711</v>
      </c>
      <c r="D17" s="160"/>
      <c r="E17" s="160"/>
      <c r="F17" s="160"/>
      <c r="G17" s="160"/>
      <c r="H17" s="160"/>
      <c r="I17" s="160"/>
      <c r="J17" s="160"/>
      <c r="K17" s="160"/>
      <c r="L17" s="160"/>
      <c r="M17" s="160"/>
      <c r="N17" s="160"/>
      <c r="O17" s="29"/>
      <c r="P17" s="29"/>
      <c r="Q17" s="29"/>
      <c r="S17" s="5" t="s">
        <v>46</v>
      </c>
      <c r="T17" s="5" t="s">
        <v>82</v>
      </c>
      <c r="U17" s="5" t="s">
        <v>91</v>
      </c>
    </row>
    <row r="18" spans="1:32" x14ac:dyDescent="0.45">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45">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4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4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4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4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4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4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4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45">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45">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45">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45">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45">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45">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45">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45">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45">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45">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45">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45">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45">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45">
      <c r="S49" s="77" t="s">
        <v>119</v>
      </c>
      <c r="T49" s="77" t="e">
        <f>ArcAngle/2</f>
        <v>#NAME?</v>
      </c>
      <c r="U49" s="92" t="s">
        <v>170</v>
      </c>
    </row>
    <row r="50" spans="1:46" x14ac:dyDescent="0.45">
      <c r="S50" s="77" t="s">
        <v>309</v>
      </c>
      <c r="T50" s="77" t="e">
        <f>NumberOfLayers*SecondLayerOffset</f>
        <v>#NAME?</v>
      </c>
      <c r="U50" s="92" t="s">
        <v>44</v>
      </c>
    </row>
    <row r="51" spans="1:46" x14ac:dyDescent="0.45">
      <c r="S51" s="77" t="s">
        <v>308</v>
      </c>
      <c r="T51" s="77">
        <f>_xlfn.SINGLE(Height)/2</f>
        <v>75</v>
      </c>
      <c r="U51" s="92" t="s">
        <v>44</v>
      </c>
    </row>
    <row r="53" spans="1:46" x14ac:dyDescent="0.45">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45">
      <c r="A54" s="40" t="s">
        <v>0</v>
      </c>
      <c r="B54" s="41"/>
      <c r="C54" s="18"/>
      <c r="D54" s="18"/>
      <c r="E54" s="18"/>
      <c r="F54" s="18"/>
      <c r="G54" s="18"/>
      <c r="H54" s="18"/>
      <c r="I54" s="18"/>
      <c r="J54" s="18"/>
      <c r="K54" s="18"/>
      <c r="L54" s="18"/>
      <c r="M54" s="18"/>
      <c r="N54" s="18"/>
      <c r="O54" s="18"/>
      <c r="P54" s="18"/>
      <c r="Q54" s="58" t="s">
        <v>322</v>
      </c>
    </row>
    <row r="55" spans="1:46" x14ac:dyDescent="0.45">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45">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45">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4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4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4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4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45">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45">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45">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45">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4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45">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45">
      <c r="A68" s="29"/>
      <c r="B68" s="29"/>
      <c r="C68" s="29"/>
      <c r="D68" s="29"/>
      <c r="E68" s="29"/>
      <c r="F68" s="29"/>
      <c r="G68" s="29"/>
      <c r="H68" s="29"/>
      <c r="I68" s="29"/>
      <c r="J68" s="29"/>
      <c r="K68" s="29"/>
      <c r="L68" s="29"/>
      <c r="M68" s="29"/>
      <c r="N68" s="29"/>
      <c r="O68" s="29"/>
      <c r="P68" s="29"/>
      <c r="Q68" s="29"/>
      <c r="S68" s="5" t="s">
        <v>125</v>
      </c>
      <c r="T68" s="5" t="s">
        <v>186</v>
      </c>
      <c r="U68" s="5"/>
    </row>
    <row r="69" spans="1:22" x14ac:dyDescent="0.45">
      <c r="A69" s="29"/>
      <c r="B69" s="29"/>
      <c r="C69" s="29"/>
      <c r="D69" s="29"/>
      <c r="E69" s="29"/>
      <c r="F69" s="29"/>
      <c r="G69" s="29"/>
      <c r="H69" s="29"/>
      <c r="I69" s="29"/>
      <c r="J69" s="29"/>
      <c r="K69" s="29"/>
      <c r="L69" s="29"/>
      <c r="M69" s="29"/>
      <c r="N69" s="29"/>
      <c r="O69" s="29"/>
      <c r="P69" s="29"/>
      <c r="Q69" s="29"/>
      <c r="S69" s="5" t="s">
        <v>185</v>
      </c>
      <c r="T69" s="5" t="s">
        <v>156</v>
      </c>
      <c r="U69" s="5"/>
    </row>
    <row r="70" spans="1:22" x14ac:dyDescent="0.45">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45">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45">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45">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45">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45">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45">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45">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45">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45">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45">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45">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4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45">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4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45">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45">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45">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45">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45">
      <c r="A90" s="40" t="s">
        <v>0</v>
      </c>
      <c r="B90" s="41"/>
      <c r="C90" s="18"/>
      <c r="D90" s="18"/>
      <c r="E90" s="18"/>
      <c r="F90" s="18"/>
      <c r="G90" s="18"/>
      <c r="H90" s="18"/>
      <c r="I90" s="18"/>
      <c r="J90" s="18"/>
      <c r="K90" s="18"/>
      <c r="L90" s="18"/>
      <c r="M90" s="18"/>
      <c r="N90" s="18"/>
      <c r="O90" s="18"/>
      <c r="P90" s="18"/>
      <c r="Q90" s="58" t="s">
        <v>322</v>
      </c>
    </row>
    <row r="91" spans="1:46" x14ac:dyDescent="0.45">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45">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45">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45">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45">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45">
      <c r="A96" s="20">
        <v>6</v>
      </c>
      <c r="B96" s="20"/>
      <c r="C96" s="20"/>
      <c r="D96" s="20"/>
      <c r="E96" s="20"/>
      <c r="F96" s="20"/>
      <c r="G96" s="20"/>
      <c r="H96" s="20"/>
      <c r="I96" s="20"/>
      <c r="J96" s="20"/>
      <c r="K96" s="20"/>
      <c r="L96" s="20"/>
      <c r="M96" s="20"/>
      <c r="N96" s="20"/>
      <c r="O96" s="20"/>
      <c r="P96" s="20"/>
      <c r="Q96" s="20"/>
      <c r="S96" s="5" t="s">
        <v>227</v>
      </c>
      <c r="T96" s="5">
        <v>0</v>
      </c>
      <c r="U96" s="5"/>
    </row>
    <row r="97" spans="1:22" x14ac:dyDescent="0.45">
      <c r="A97" s="20">
        <v>7</v>
      </c>
      <c r="B97" s="20"/>
      <c r="C97" s="20"/>
      <c r="D97" s="20"/>
      <c r="E97" s="20"/>
      <c r="F97" s="20"/>
      <c r="G97" s="20"/>
      <c r="H97" s="20"/>
      <c r="I97" s="20"/>
      <c r="J97" s="20"/>
      <c r="K97" s="20"/>
      <c r="L97" s="20"/>
      <c r="M97" s="20"/>
      <c r="N97" s="20"/>
      <c r="O97" s="20"/>
      <c r="P97" s="20"/>
      <c r="Q97" s="20"/>
      <c r="S97" s="57"/>
      <c r="T97" s="57"/>
      <c r="U97" s="90"/>
    </row>
    <row r="98" spans="1:22" x14ac:dyDescent="0.45">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45">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45">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4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4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45">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45">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45">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45">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45">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45">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45">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45">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45">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45">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45">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45">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45">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45">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45">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4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45">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4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4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45">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4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4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45">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45">
      <c r="A126" s="40" t="s">
        <v>0</v>
      </c>
      <c r="B126" s="41"/>
      <c r="C126" s="18"/>
      <c r="D126" s="18"/>
      <c r="E126" s="18"/>
      <c r="F126" s="18"/>
      <c r="G126" s="18"/>
      <c r="H126" s="18"/>
      <c r="I126" s="18"/>
      <c r="J126" s="18"/>
      <c r="K126" s="18"/>
      <c r="L126" s="18"/>
      <c r="M126" s="18"/>
      <c r="N126" s="18"/>
      <c r="O126" s="18"/>
      <c r="P126" s="18"/>
      <c r="Q126" s="58" t="s">
        <v>322</v>
      </c>
    </row>
    <row r="127" spans="1:46" x14ac:dyDescent="0.4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45">
      <c r="A128" s="20">
        <v>2</v>
      </c>
      <c r="B128" s="27" t="s">
        <v>55</v>
      </c>
      <c r="C128" s="27">
        <v>1</v>
      </c>
      <c r="D128" s="27">
        <v>0</v>
      </c>
      <c r="E128" s="27">
        <v>0</v>
      </c>
      <c r="F128" s="27">
        <v>0.2</v>
      </c>
      <c r="G128" s="27">
        <f>_xlfn.SINGLE(Layers)</f>
        <v>750</v>
      </c>
      <c r="H128" s="27"/>
      <c r="I128" s="27"/>
      <c r="J128" s="27"/>
      <c r="K128" s="27"/>
      <c r="L128" s="27"/>
      <c r="M128" s="27"/>
      <c r="N128" s="27"/>
      <c r="O128" s="27"/>
      <c r="P128" s="27"/>
      <c r="Q128" s="27" t="s">
        <v>330</v>
      </c>
      <c r="S128" s="5" t="s">
        <v>115</v>
      </c>
      <c r="T128" s="5">
        <v>0.2</v>
      </c>
      <c r="U128" s="5" t="s">
        <v>44</v>
      </c>
    </row>
    <row r="129" spans="1:22" x14ac:dyDescent="0.45">
      <c r="A129" s="20">
        <v>3</v>
      </c>
      <c r="B129" s="111" t="s">
        <v>324</v>
      </c>
      <c r="C129" s="42">
        <v>2</v>
      </c>
      <c r="D129" s="42">
        <v>1</v>
      </c>
      <c r="E129" s="42">
        <v>1</v>
      </c>
      <c r="F129" s="42">
        <f>_xlfn.SINGLE(Layers)</f>
        <v>750</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45">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45">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45">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4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45">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45">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45">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4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4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45">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45">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45">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45">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45">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45">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45">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45">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45">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45">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45">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45">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45">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45">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45">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4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45">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4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45">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45">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45">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45">
      <c r="A161" s="40" t="s">
        <v>0</v>
      </c>
      <c r="B161" s="41"/>
      <c r="C161" s="18"/>
      <c r="D161" s="18"/>
      <c r="E161" s="18"/>
      <c r="F161" s="18"/>
      <c r="G161" s="18"/>
      <c r="H161" s="18"/>
      <c r="I161" s="18"/>
      <c r="J161" s="18"/>
      <c r="K161" s="18"/>
      <c r="L161" s="18"/>
      <c r="M161" s="18"/>
      <c r="N161" s="18"/>
      <c r="O161" s="18"/>
      <c r="P161" s="18"/>
      <c r="Q161" s="58" t="s">
        <v>322</v>
      </c>
    </row>
    <row r="162" spans="1:22" x14ac:dyDescent="0.4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45">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45">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45">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45">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45">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4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45">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45">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45">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4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4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45">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45">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45">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45">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45">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45">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45">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45">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45">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45">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45">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45">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45">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45">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45">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4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45">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45">
      <c r="S191" s="75"/>
      <c r="T191" s="75"/>
      <c r="U191" s="92"/>
    </row>
    <row r="192" spans="1:32" x14ac:dyDescent="0.45">
      <c r="S192" s="75" t="s">
        <v>304</v>
      </c>
      <c r="T192" s="75">
        <v>50</v>
      </c>
      <c r="U192" s="92" t="s">
        <v>44</v>
      </c>
    </row>
    <row r="193" spans="1:46" x14ac:dyDescent="0.45">
      <c r="S193" s="79" t="s">
        <v>305</v>
      </c>
      <c r="T193" s="79">
        <v>50</v>
      </c>
      <c r="U193" s="92" t="s">
        <v>44</v>
      </c>
    </row>
    <row r="195" spans="1:46" x14ac:dyDescent="0.45">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45">
      <c r="A196" s="40" t="s">
        <v>0</v>
      </c>
      <c r="B196" s="41"/>
      <c r="C196" s="18"/>
      <c r="D196" s="18"/>
      <c r="E196" s="18"/>
      <c r="F196" s="18"/>
      <c r="G196" s="18"/>
      <c r="H196" s="18"/>
      <c r="I196" s="18"/>
      <c r="J196" s="18"/>
      <c r="K196" s="18"/>
      <c r="L196" s="18"/>
      <c r="M196" s="18"/>
      <c r="N196" s="18"/>
      <c r="O196" s="18"/>
      <c r="P196" s="18"/>
      <c r="Q196" s="58" t="s">
        <v>322</v>
      </c>
    </row>
    <row r="197" spans="1:46" x14ac:dyDescent="0.4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45">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45">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4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45">
      <c r="A201" s="20">
        <v>5</v>
      </c>
      <c r="B201" s="27" t="s">
        <v>55</v>
      </c>
      <c r="C201" s="27">
        <v>4</v>
      </c>
      <c r="D201" s="27">
        <v>0</v>
      </c>
      <c r="E201" s="27">
        <v>0</v>
      </c>
      <c r="F201" s="27">
        <v>0.2</v>
      </c>
      <c r="G201" s="27">
        <f>_xlfn.SINGLE(Layers)</f>
        <v>750</v>
      </c>
      <c r="H201" s="27"/>
      <c r="I201" s="27"/>
      <c r="J201" s="27"/>
      <c r="K201" s="27"/>
      <c r="L201" s="27"/>
      <c r="M201" s="27"/>
      <c r="N201" s="27"/>
      <c r="O201" s="27"/>
      <c r="P201" s="27"/>
      <c r="Q201" s="27" t="s">
        <v>330</v>
      </c>
      <c r="S201" s="5" t="s">
        <v>226</v>
      </c>
      <c r="T201" s="5" t="s">
        <v>237</v>
      </c>
      <c r="U201" s="5"/>
    </row>
    <row r="202" spans="1:46" x14ac:dyDescent="0.45">
      <c r="A202" s="20">
        <v>6</v>
      </c>
      <c r="B202" s="42" t="s">
        <v>52</v>
      </c>
      <c r="C202" s="42">
        <v>5</v>
      </c>
      <c r="D202" s="42">
        <v>4</v>
      </c>
      <c r="E202" s="42">
        <v>1</v>
      </c>
      <c r="F202" s="42">
        <f>_xlfn.SINGLE(Layers)</f>
        <v>750</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45">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45">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45">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45">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4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4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45">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45">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45">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45">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45">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45">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45">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45">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45">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45">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45">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45">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45">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45">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45">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4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45">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4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45">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45">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45">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45">
      <c r="A231" s="40" t="s">
        <v>0</v>
      </c>
      <c r="B231" s="41"/>
      <c r="C231" s="18"/>
      <c r="D231" s="18"/>
      <c r="E231" s="18"/>
      <c r="F231" s="18"/>
      <c r="G231" s="18"/>
      <c r="H231" s="18"/>
      <c r="I231" s="18"/>
      <c r="J231" s="18"/>
      <c r="K231" s="18"/>
      <c r="L231" s="18"/>
      <c r="M231" s="18"/>
      <c r="N231" s="18"/>
      <c r="O231" s="18"/>
      <c r="P231" s="18"/>
      <c r="Q231" s="58" t="s">
        <v>322</v>
      </c>
    </row>
    <row r="232" spans="1:46" x14ac:dyDescent="0.4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45">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45">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45">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45">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45">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4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45">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45">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45">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4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4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45">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45">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45">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45">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45">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45">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45">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45">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45">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45">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45">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45">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45">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45">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45">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4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45">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4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45">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45">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45">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328125" defaultRowHeight="16.350000000000001" customHeight="1" x14ac:dyDescent="0.45"/>
  <cols>
    <col min="1" max="2" width="23" style="71" customWidth="1"/>
    <col min="3" max="3" width="19" style="60" customWidth="1"/>
    <col min="4" max="4" width="9.1328125" style="60"/>
    <col min="5" max="5" width="16.73046875" style="60" customWidth="1"/>
    <col min="6" max="16384" width="9.1328125" style="60"/>
  </cols>
  <sheetData>
    <row r="1" spans="1:17" ht="16.350000000000001" customHeight="1" x14ac:dyDescent="0.45">
      <c r="A1" s="71" t="s">
        <v>299</v>
      </c>
      <c r="B1" s="71" t="s">
        <v>302</v>
      </c>
      <c r="C1" s="71" t="s">
        <v>300</v>
      </c>
      <c r="D1" s="60" t="s">
        <v>301</v>
      </c>
    </row>
    <row r="2" spans="1:17" ht="16.350000000000001" customHeight="1" x14ac:dyDescent="0.45">
      <c r="A2" s="71">
        <v>1</v>
      </c>
      <c r="B2" s="71">
        <v>1</v>
      </c>
      <c r="C2" s="60">
        <v>1</v>
      </c>
      <c r="D2" s="60" t="s">
        <v>1</v>
      </c>
      <c r="E2" s="60" t="s">
        <v>18</v>
      </c>
      <c r="F2" s="60">
        <v>20</v>
      </c>
      <c r="G2" s="60">
        <v>10</v>
      </c>
      <c r="H2" s="60">
        <v>0</v>
      </c>
      <c r="I2" s="60">
        <v>30</v>
      </c>
      <c r="J2" s="60">
        <v>10</v>
      </c>
      <c r="K2" s="60">
        <v>0</v>
      </c>
      <c r="L2" s="60" t="s">
        <v>19</v>
      </c>
      <c r="M2" s="60">
        <v>0.5</v>
      </c>
      <c r="N2" s="60">
        <v>0.2</v>
      </c>
      <c r="Q2" s="72"/>
    </row>
    <row r="3" spans="1:17" ht="16.350000000000001" customHeight="1" x14ac:dyDescent="0.45">
      <c r="A3" s="71">
        <v>2</v>
      </c>
      <c r="B3" s="71">
        <v>2</v>
      </c>
      <c r="C3" s="60">
        <v>2</v>
      </c>
      <c r="D3" s="60" t="s">
        <v>1</v>
      </c>
      <c r="E3" s="60" t="s">
        <v>18</v>
      </c>
      <c r="F3" s="60" t="s">
        <v>117</v>
      </c>
      <c r="G3" s="60" t="s">
        <v>117</v>
      </c>
      <c r="H3" s="60" t="s">
        <v>117</v>
      </c>
      <c r="I3" s="60">
        <v>175</v>
      </c>
      <c r="J3" s="60" t="s">
        <v>117</v>
      </c>
      <c r="K3" s="60" t="s">
        <v>117</v>
      </c>
      <c r="L3" s="60" t="s">
        <v>19</v>
      </c>
      <c r="M3" s="60">
        <v>0.5</v>
      </c>
      <c r="N3" s="60">
        <v>0.2</v>
      </c>
      <c r="P3" s="72"/>
    </row>
    <row r="4" spans="1:17" ht="16.350000000000001" customHeight="1" x14ac:dyDescent="0.45">
      <c r="A4" s="71">
        <v>3</v>
      </c>
      <c r="B4" s="71">
        <v>3</v>
      </c>
      <c r="C4" s="60">
        <v>3</v>
      </c>
      <c r="D4" s="60" t="s">
        <v>1</v>
      </c>
      <c r="E4" s="60" t="s">
        <v>18</v>
      </c>
      <c r="F4" s="60" t="s">
        <v>117</v>
      </c>
      <c r="G4" s="60" t="s">
        <v>117</v>
      </c>
      <c r="H4" s="60" t="s">
        <v>117</v>
      </c>
      <c r="I4" s="60" t="s">
        <v>117</v>
      </c>
      <c r="J4" s="60">
        <v>100</v>
      </c>
      <c r="K4" s="60" t="s">
        <v>117</v>
      </c>
      <c r="L4" s="60" t="s">
        <v>19</v>
      </c>
      <c r="M4" s="60">
        <v>0.5</v>
      </c>
      <c r="N4" s="60">
        <v>0.2</v>
      </c>
      <c r="Q4" s="72"/>
    </row>
    <row r="5" spans="1:17" ht="16.350000000000001" customHeight="1" x14ac:dyDescent="0.45">
      <c r="A5" s="71">
        <v>4</v>
      </c>
      <c r="B5" s="71">
        <v>4</v>
      </c>
      <c r="C5" s="60">
        <v>4</v>
      </c>
      <c r="D5" s="60" t="s">
        <v>206</v>
      </c>
      <c r="E5" s="60">
        <v>100</v>
      </c>
      <c r="F5" s="60">
        <v>100</v>
      </c>
      <c r="G5" s="60" t="s">
        <v>1095</v>
      </c>
      <c r="H5" s="60" t="s">
        <v>1096</v>
      </c>
      <c r="I5" s="60" t="s">
        <v>916</v>
      </c>
      <c r="J5" s="60">
        <v>0</v>
      </c>
      <c r="K5" s="60">
        <v>1</v>
      </c>
      <c r="L5" s="60">
        <v>300</v>
      </c>
      <c r="M5" s="60" t="s">
        <v>1099</v>
      </c>
      <c r="N5" s="60">
        <v>0.2</v>
      </c>
      <c r="P5" s="72" t="s">
        <v>875</v>
      </c>
      <c r="Q5" s="72"/>
    </row>
    <row r="6" spans="1:17" ht="16.350000000000001" customHeight="1" x14ac:dyDescent="0.45">
      <c r="A6" s="71">
        <v>5</v>
      </c>
      <c r="B6" s="71">
        <v>5</v>
      </c>
      <c r="C6" s="60">
        <v>5</v>
      </c>
      <c r="D6" s="60" t="s">
        <v>205</v>
      </c>
      <c r="E6" s="60" t="s">
        <v>917</v>
      </c>
      <c r="F6" s="60" t="s">
        <v>961</v>
      </c>
      <c r="G6" s="60">
        <v>0</v>
      </c>
      <c r="H6" s="60">
        <v>0</v>
      </c>
      <c r="I6" s="60">
        <v>1</v>
      </c>
      <c r="J6" s="60">
        <v>64</v>
      </c>
      <c r="K6" s="60">
        <v>1.25</v>
      </c>
      <c r="L6" s="60">
        <v>0.2</v>
      </c>
      <c r="N6" s="60">
        <v>400</v>
      </c>
      <c r="Q6" s="72"/>
    </row>
    <row r="7" spans="1:17" ht="16.350000000000001" customHeight="1" x14ac:dyDescent="0.45">
      <c r="A7" s="71">
        <v>6</v>
      </c>
      <c r="B7" s="71">
        <v>6</v>
      </c>
      <c r="C7" s="60">
        <v>6</v>
      </c>
      <c r="D7" s="60" t="s">
        <v>10</v>
      </c>
      <c r="E7" s="60">
        <v>100</v>
      </c>
      <c r="F7" s="60">
        <v>100</v>
      </c>
      <c r="G7" s="60">
        <v>0</v>
      </c>
      <c r="H7" s="60">
        <v>15</v>
      </c>
      <c r="I7" s="60">
        <v>0</v>
      </c>
      <c r="J7" s="60">
        <v>30</v>
      </c>
      <c r="K7" s="60" t="s">
        <v>38</v>
      </c>
      <c r="L7" s="60">
        <v>30</v>
      </c>
      <c r="M7" s="60">
        <v>1.25</v>
      </c>
      <c r="N7" s="60">
        <v>0.2</v>
      </c>
      <c r="O7" s="60" t="s">
        <v>962</v>
      </c>
      <c r="P7" s="72"/>
      <c r="Q7" s="72"/>
    </row>
    <row r="8" spans="1:17" ht="16.350000000000001" customHeight="1" x14ac:dyDescent="0.45">
      <c r="A8" s="71">
        <v>7</v>
      </c>
      <c r="B8" s="71">
        <v>7</v>
      </c>
      <c r="C8" s="60">
        <v>7</v>
      </c>
      <c r="D8" s="60" t="s">
        <v>17</v>
      </c>
      <c r="E8" s="60" t="s">
        <v>963</v>
      </c>
      <c r="F8" s="60" t="s">
        <v>2</v>
      </c>
      <c r="G8" s="60">
        <v>100</v>
      </c>
      <c r="H8" s="60">
        <v>100</v>
      </c>
      <c r="I8" s="60">
        <v>30</v>
      </c>
      <c r="Q8" s="72"/>
    </row>
    <row r="9" spans="1:17" ht="16.350000000000001" customHeight="1" x14ac:dyDescent="0.45">
      <c r="A9" s="71">
        <v>8</v>
      </c>
      <c r="B9" s="71">
        <v>8</v>
      </c>
      <c r="C9" s="60">
        <v>8</v>
      </c>
      <c r="D9" s="60" t="s">
        <v>54</v>
      </c>
      <c r="E9" s="60" t="s">
        <v>964</v>
      </c>
      <c r="F9" s="60">
        <v>100</v>
      </c>
      <c r="G9" s="60">
        <v>100</v>
      </c>
      <c r="H9" s="60">
        <v>60</v>
      </c>
      <c r="I9" s="60">
        <v>0</v>
      </c>
      <c r="J9" s="60">
        <v>5</v>
      </c>
      <c r="P9" s="72"/>
      <c r="Q9" s="72"/>
    </row>
    <row r="10" spans="1:17" ht="16.350000000000001" customHeight="1" x14ac:dyDescent="0.45">
      <c r="A10" s="71">
        <v>9</v>
      </c>
      <c r="B10" s="71">
        <v>9</v>
      </c>
      <c r="C10" s="60">
        <v>9</v>
      </c>
      <c r="D10" s="60" t="s">
        <v>279</v>
      </c>
      <c r="E10" s="60" t="s">
        <v>965</v>
      </c>
      <c r="F10" s="60" t="s">
        <v>203</v>
      </c>
      <c r="G10" s="60">
        <v>100</v>
      </c>
      <c r="H10" s="60">
        <v>100</v>
      </c>
      <c r="I10" s="60">
        <v>0</v>
      </c>
      <c r="J10" s="60" t="s">
        <v>1097</v>
      </c>
      <c r="K10" s="60">
        <v>0</v>
      </c>
      <c r="L10" s="60" t="s">
        <v>136</v>
      </c>
      <c r="M10" s="60" t="s">
        <v>136</v>
      </c>
      <c r="Q10" s="72"/>
    </row>
    <row r="11" spans="1:17" ht="16.350000000000001" customHeight="1" x14ac:dyDescent="0.45">
      <c r="A11" s="71">
        <v>10</v>
      </c>
      <c r="B11" s="71">
        <v>10</v>
      </c>
      <c r="C11" s="60">
        <v>10</v>
      </c>
      <c r="D11" s="60" t="s">
        <v>279</v>
      </c>
      <c r="E11" s="60" t="s">
        <v>966</v>
      </c>
      <c r="F11" s="60" t="s">
        <v>203</v>
      </c>
      <c r="G11" s="60">
        <v>100</v>
      </c>
      <c r="H11" s="60">
        <v>100</v>
      </c>
      <c r="I11" s="60">
        <v>0</v>
      </c>
      <c r="J11" s="60" t="s">
        <v>1098</v>
      </c>
      <c r="K11" s="60">
        <v>0</v>
      </c>
      <c r="L11" s="60" t="s">
        <v>136</v>
      </c>
      <c r="M11" s="60" t="s">
        <v>136</v>
      </c>
      <c r="P11" s="72"/>
      <c r="Q11" s="72"/>
    </row>
    <row r="12" spans="1:17" ht="16.350000000000001" customHeight="1" x14ac:dyDescent="0.45">
      <c r="A12" s="71">
        <v>11</v>
      </c>
      <c r="B12" s="71">
        <v>4</v>
      </c>
      <c r="C12" s="60">
        <v>11</v>
      </c>
      <c r="D12" s="60" t="s">
        <v>206</v>
      </c>
      <c r="E12" s="60">
        <v>100</v>
      </c>
      <c r="F12" s="60">
        <v>100</v>
      </c>
      <c r="G12" s="60" t="s">
        <v>1095</v>
      </c>
      <c r="H12" s="60" t="s">
        <v>1096</v>
      </c>
      <c r="I12" s="60" t="s">
        <v>918</v>
      </c>
      <c r="J12" s="60">
        <v>0</v>
      </c>
      <c r="K12" s="60">
        <v>1</v>
      </c>
      <c r="L12" s="60">
        <v>300</v>
      </c>
      <c r="M12" s="60" t="s">
        <v>1099</v>
      </c>
      <c r="N12" s="60">
        <v>0.2</v>
      </c>
      <c r="P12" s="60" t="s">
        <v>875</v>
      </c>
      <c r="Q12" s="72"/>
    </row>
    <row r="13" spans="1:17" ht="16.350000000000001" customHeight="1" x14ac:dyDescent="0.45">
      <c r="A13" s="71">
        <v>11</v>
      </c>
      <c r="B13" s="71">
        <v>5</v>
      </c>
      <c r="C13" s="60">
        <v>12</v>
      </c>
      <c r="D13" s="60" t="s">
        <v>205</v>
      </c>
      <c r="E13" s="60" t="s">
        <v>919</v>
      </c>
      <c r="F13" s="60" t="s">
        <v>967</v>
      </c>
      <c r="G13" s="60">
        <v>0.2</v>
      </c>
      <c r="H13" s="60">
        <v>0</v>
      </c>
      <c r="I13" s="60">
        <v>1</v>
      </c>
      <c r="J13" s="60">
        <v>64</v>
      </c>
      <c r="K13" s="60">
        <v>1.25</v>
      </c>
      <c r="L13" s="60">
        <v>0.2</v>
      </c>
      <c r="N13" s="60">
        <v>400</v>
      </c>
      <c r="P13" s="72"/>
      <c r="Q13" s="72"/>
    </row>
    <row r="14" spans="1:17" ht="16.350000000000001" customHeight="1" x14ac:dyDescent="0.45">
      <c r="A14" s="71">
        <v>11</v>
      </c>
      <c r="B14" s="71">
        <v>6</v>
      </c>
      <c r="C14" s="60">
        <v>13</v>
      </c>
      <c r="D14" s="60" t="s">
        <v>10</v>
      </c>
      <c r="E14" s="60">
        <v>100</v>
      </c>
      <c r="F14" s="60">
        <v>100</v>
      </c>
      <c r="G14" s="60">
        <v>0.2</v>
      </c>
      <c r="H14" s="60">
        <v>15</v>
      </c>
      <c r="I14" s="60">
        <v>0</v>
      </c>
      <c r="J14" s="60">
        <v>30</v>
      </c>
      <c r="K14" s="60" t="s">
        <v>38</v>
      </c>
      <c r="L14" s="60">
        <v>30</v>
      </c>
      <c r="M14" s="60">
        <v>1.25</v>
      </c>
      <c r="N14" s="60">
        <v>0.2</v>
      </c>
      <c r="O14" s="60" t="s">
        <v>962</v>
      </c>
      <c r="Q14" s="72"/>
    </row>
    <row r="15" spans="1:17" ht="16.350000000000001" customHeight="1" x14ac:dyDescent="0.45">
      <c r="A15" s="71">
        <v>11</v>
      </c>
      <c r="B15" s="71">
        <v>7</v>
      </c>
      <c r="C15" s="60">
        <v>14</v>
      </c>
      <c r="D15" s="60" t="s">
        <v>17</v>
      </c>
      <c r="E15" s="60" t="s">
        <v>968</v>
      </c>
      <c r="F15" s="60" t="s">
        <v>2</v>
      </c>
      <c r="G15" s="60">
        <v>100</v>
      </c>
      <c r="H15" s="60">
        <v>100</v>
      </c>
      <c r="I15" s="60">
        <v>30</v>
      </c>
      <c r="P15" s="72"/>
      <c r="Q15" s="72"/>
    </row>
    <row r="16" spans="1:17" ht="16.350000000000001" customHeight="1" x14ac:dyDescent="0.45">
      <c r="A16" s="71">
        <v>11</v>
      </c>
      <c r="B16" s="71">
        <v>8</v>
      </c>
      <c r="C16" s="60">
        <v>15</v>
      </c>
      <c r="D16" s="60" t="s">
        <v>54</v>
      </c>
      <c r="E16" s="60" t="s">
        <v>969</v>
      </c>
      <c r="F16" s="60">
        <v>100</v>
      </c>
      <c r="G16" s="60">
        <v>100</v>
      </c>
      <c r="H16" s="60">
        <v>60</v>
      </c>
      <c r="I16" s="60">
        <v>0</v>
      </c>
      <c r="J16" s="60">
        <v>5</v>
      </c>
      <c r="O16" s="72"/>
      <c r="Q16" s="72"/>
    </row>
    <row r="17" spans="1:17" ht="16.350000000000001" customHeight="1" x14ac:dyDescent="0.45">
      <c r="A17" s="71">
        <v>11</v>
      </c>
      <c r="B17" s="71">
        <v>9</v>
      </c>
      <c r="C17" s="60">
        <v>16</v>
      </c>
      <c r="D17" s="60" t="s">
        <v>279</v>
      </c>
      <c r="E17" s="60" t="s">
        <v>970</v>
      </c>
      <c r="F17" s="60" t="s">
        <v>203</v>
      </c>
      <c r="G17" s="60">
        <v>100</v>
      </c>
      <c r="H17" s="60">
        <v>100</v>
      </c>
      <c r="I17" s="60">
        <v>0</v>
      </c>
      <c r="J17" s="60" t="s">
        <v>1097</v>
      </c>
      <c r="K17" s="60">
        <v>0</v>
      </c>
      <c r="L17" s="60" t="s">
        <v>136</v>
      </c>
      <c r="M17" s="60" t="s">
        <v>136</v>
      </c>
      <c r="P17" s="72"/>
      <c r="Q17" s="72"/>
    </row>
    <row r="18" spans="1:17" ht="16.350000000000001" customHeight="1" x14ac:dyDescent="0.45">
      <c r="A18" s="71">
        <v>11</v>
      </c>
      <c r="B18" s="71">
        <v>10</v>
      </c>
      <c r="C18" s="60">
        <v>17</v>
      </c>
      <c r="D18" s="60" t="s">
        <v>279</v>
      </c>
      <c r="E18" s="60" t="s">
        <v>971</v>
      </c>
      <c r="F18" s="60" t="s">
        <v>203</v>
      </c>
      <c r="G18" s="60">
        <v>100</v>
      </c>
      <c r="H18" s="60">
        <v>100</v>
      </c>
      <c r="I18" s="60">
        <v>0</v>
      </c>
      <c r="J18" s="60" t="s">
        <v>1098</v>
      </c>
      <c r="K18" s="60">
        <v>0</v>
      </c>
      <c r="L18" s="60" t="s">
        <v>136</v>
      </c>
      <c r="M18" s="60" t="s">
        <v>136</v>
      </c>
      <c r="Q18" s="72"/>
    </row>
    <row r="19" spans="1:17" ht="16.350000000000001" customHeight="1" x14ac:dyDescent="0.45">
      <c r="A19" s="71">
        <v>11</v>
      </c>
      <c r="B19" s="71">
        <v>4</v>
      </c>
      <c r="C19" s="60">
        <v>18</v>
      </c>
      <c r="D19" s="60" t="s">
        <v>206</v>
      </c>
      <c r="E19" s="60">
        <v>100</v>
      </c>
      <c r="F19" s="60">
        <v>100</v>
      </c>
      <c r="G19" s="60" t="s">
        <v>1095</v>
      </c>
      <c r="H19" s="60" t="s">
        <v>1096</v>
      </c>
      <c r="I19" s="60" t="s">
        <v>920</v>
      </c>
      <c r="J19" s="60">
        <v>0</v>
      </c>
      <c r="K19" s="60">
        <v>1</v>
      </c>
      <c r="L19" s="60">
        <v>300</v>
      </c>
      <c r="M19" s="60" t="s">
        <v>1099</v>
      </c>
      <c r="N19" s="60">
        <v>0.2</v>
      </c>
      <c r="P19" s="72" t="s">
        <v>875</v>
      </c>
      <c r="Q19" s="72"/>
    </row>
    <row r="20" spans="1:17" ht="16.350000000000001" customHeight="1" x14ac:dyDescent="0.45">
      <c r="A20" s="71">
        <v>11</v>
      </c>
      <c r="B20" s="71">
        <v>5</v>
      </c>
      <c r="C20" s="60">
        <v>19</v>
      </c>
      <c r="D20" s="60" t="s">
        <v>205</v>
      </c>
      <c r="E20" s="60" t="s">
        <v>919</v>
      </c>
      <c r="F20" s="60" t="s">
        <v>967</v>
      </c>
      <c r="G20" s="60">
        <v>0.4</v>
      </c>
      <c r="H20" s="60">
        <v>0</v>
      </c>
      <c r="I20" s="60">
        <v>1</v>
      </c>
      <c r="J20" s="60">
        <v>64</v>
      </c>
      <c r="K20" s="60">
        <v>1.25</v>
      </c>
      <c r="L20" s="60">
        <v>0.2</v>
      </c>
      <c r="N20" s="60">
        <v>400</v>
      </c>
      <c r="Q20" s="72"/>
    </row>
    <row r="21" spans="1:17" ht="16.350000000000001" customHeight="1" x14ac:dyDescent="0.45">
      <c r="A21" s="71">
        <v>11</v>
      </c>
      <c r="B21" s="71">
        <v>6</v>
      </c>
      <c r="C21" s="60">
        <v>20</v>
      </c>
      <c r="D21" s="60" t="s">
        <v>10</v>
      </c>
      <c r="E21" s="60">
        <v>100</v>
      </c>
      <c r="F21" s="60">
        <v>100</v>
      </c>
      <c r="G21" s="60">
        <v>0.4</v>
      </c>
      <c r="H21" s="60">
        <v>15</v>
      </c>
      <c r="I21" s="60">
        <v>0</v>
      </c>
      <c r="J21" s="60">
        <v>30</v>
      </c>
      <c r="K21" s="60" t="s">
        <v>38</v>
      </c>
      <c r="L21" s="60">
        <v>30</v>
      </c>
      <c r="M21" s="60">
        <v>1.25</v>
      </c>
      <c r="N21" s="60">
        <v>0.2</v>
      </c>
      <c r="O21" s="60" t="s">
        <v>962</v>
      </c>
      <c r="Q21" s="72"/>
    </row>
    <row r="22" spans="1:17" ht="16.350000000000001" customHeight="1" x14ac:dyDescent="0.45">
      <c r="A22" s="71">
        <v>11</v>
      </c>
      <c r="B22" s="71">
        <v>7</v>
      </c>
      <c r="C22" s="60">
        <v>21</v>
      </c>
      <c r="D22" s="60" t="s">
        <v>17</v>
      </c>
      <c r="E22" s="60" t="s">
        <v>972</v>
      </c>
      <c r="F22" s="60" t="s">
        <v>2</v>
      </c>
      <c r="G22" s="60">
        <v>100</v>
      </c>
      <c r="H22" s="60">
        <v>100</v>
      </c>
      <c r="I22" s="60">
        <v>30</v>
      </c>
      <c r="Q22" s="72"/>
    </row>
    <row r="23" spans="1:17" ht="16.350000000000001" customHeight="1" x14ac:dyDescent="0.45">
      <c r="A23" s="71">
        <v>11</v>
      </c>
      <c r="B23" s="71">
        <v>8</v>
      </c>
      <c r="C23" s="60">
        <v>22</v>
      </c>
      <c r="D23" s="60" t="s">
        <v>54</v>
      </c>
      <c r="E23" s="60" t="s">
        <v>973</v>
      </c>
      <c r="F23" s="60">
        <v>100</v>
      </c>
      <c r="G23" s="60">
        <v>100</v>
      </c>
      <c r="H23" s="60">
        <v>60</v>
      </c>
      <c r="I23" s="60">
        <v>0</v>
      </c>
      <c r="J23" s="60">
        <v>5</v>
      </c>
      <c r="Q23" s="72"/>
    </row>
    <row r="24" spans="1:17" ht="16.350000000000001" customHeight="1" x14ac:dyDescent="0.45">
      <c r="A24" s="71">
        <v>11</v>
      </c>
      <c r="B24" s="71">
        <v>9</v>
      </c>
      <c r="C24" s="60">
        <v>23</v>
      </c>
      <c r="D24" s="60" t="s">
        <v>279</v>
      </c>
      <c r="E24" s="60" t="s">
        <v>974</v>
      </c>
      <c r="F24" s="60" t="s">
        <v>203</v>
      </c>
      <c r="G24" s="60">
        <v>100</v>
      </c>
      <c r="H24" s="60">
        <v>100</v>
      </c>
      <c r="I24" s="60">
        <v>0</v>
      </c>
      <c r="J24" s="60" t="s">
        <v>1097</v>
      </c>
      <c r="K24" s="60">
        <v>0</v>
      </c>
      <c r="L24" s="60" t="s">
        <v>136</v>
      </c>
      <c r="M24" s="60" t="s">
        <v>136</v>
      </c>
      <c r="Q24" s="72"/>
    </row>
    <row r="25" spans="1:17" ht="16.350000000000001" customHeight="1" x14ac:dyDescent="0.45">
      <c r="A25" s="71">
        <v>11</v>
      </c>
      <c r="B25" s="71">
        <v>10</v>
      </c>
      <c r="C25" s="60">
        <v>24</v>
      </c>
      <c r="D25" s="60" t="s">
        <v>279</v>
      </c>
      <c r="E25" s="60" t="s">
        <v>975</v>
      </c>
      <c r="F25" s="60" t="s">
        <v>203</v>
      </c>
      <c r="G25" s="60">
        <v>100</v>
      </c>
      <c r="H25" s="60">
        <v>100</v>
      </c>
      <c r="I25" s="60">
        <v>0</v>
      </c>
      <c r="J25" s="60" t="s">
        <v>1098</v>
      </c>
      <c r="K25" s="60">
        <v>0</v>
      </c>
      <c r="L25" s="60" t="s">
        <v>136</v>
      </c>
      <c r="M25" s="60" t="s">
        <v>136</v>
      </c>
      <c r="Q25" s="72"/>
    </row>
    <row r="26" spans="1:17" ht="16.350000000000001" customHeight="1" x14ac:dyDescent="0.45">
      <c r="A26" s="71">
        <v>11</v>
      </c>
      <c r="B26" s="71">
        <v>4</v>
      </c>
      <c r="C26" s="60">
        <v>25</v>
      </c>
      <c r="D26" s="60" t="s">
        <v>206</v>
      </c>
      <c r="E26" s="60">
        <v>100</v>
      </c>
      <c r="F26" s="60">
        <v>100</v>
      </c>
      <c r="G26" s="60" t="s">
        <v>1095</v>
      </c>
      <c r="H26" s="60" t="s">
        <v>1096</v>
      </c>
      <c r="I26" s="60" t="s">
        <v>921</v>
      </c>
      <c r="J26" s="60">
        <v>0</v>
      </c>
      <c r="K26" s="60">
        <v>1</v>
      </c>
      <c r="L26" s="60">
        <v>300</v>
      </c>
      <c r="M26" s="60" t="s">
        <v>1099</v>
      </c>
      <c r="N26" s="60">
        <v>0.2</v>
      </c>
      <c r="P26" s="60" t="s">
        <v>875</v>
      </c>
      <c r="Q26" s="72"/>
    </row>
    <row r="27" spans="1:17" ht="16.350000000000001" customHeight="1" x14ac:dyDescent="0.45">
      <c r="A27" s="71">
        <v>11</v>
      </c>
      <c r="B27" s="71">
        <v>5</v>
      </c>
      <c r="C27" s="60">
        <v>26</v>
      </c>
      <c r="D27" s="60" t="s">
        <v>205</v>
      </c>
      <c r="E27" s="60" t="s">
        <v>919</v>
      </c>
      <c r="F27" s="60" t="s">
        <v>967</v>
      </c>
      <c r="G27" s="60">
        <v>0.60000000000000009</v>
      </c>
      <c r="H27" s="60">
        <v>0</v>
      </c>
      <c r="I27" s="60">
        <v>1</v>
      </c>
      <c r="J27" s="60">
        <v>64</v>
      </c>
      <c r="K27" s="60">
        <v>1.25</v>
      </c>
      <c r="L27" s="60">
        <v>0.2</v>
      </c>
      <c r="N27" s="60">
        <v>400</v>
      </c>
      <c r="O27" s="72"/>
      <c r="Q27" s="72"/>
    </row>
    <row r="28" spans="1:17" ht="16.350000000000001" customHeight="1" x14ac:dyDescent="0.45">
      <c r="A28" s="71">
        <v>11</v>
      </c>
      <c r="B28" s="71">
        <v>6</v>
      </c>
      <c r="C28" s="60">
        <v>27</v>
      </c>
      <c r="D28" s="60" t="s">
        <v>10</v>
      </c>
      <c r="E28" s="60">
        <v>100</v>
      </c>
      <c r="F28" s="60">
        <v>100</v>
      </c>
      <c r="G28" s="60">
        <v>0.60000000000000009</v>
      </c>
      <c r="H28" s="60">
        <v>15</v>
      </c>
      <c r="I28" s="60">
        <v>0</v>
      </c>
      <c r="J28" s="60">
        <v>30</v>
      </c>
      <c r="K28" s="60" t="s">
        <v>38</v>
      </c>
      <c r="L28" s="60">
        <v>30</v>
      </c>
      <c r="M28" s="60">
        <v>1.25</v>
      </c>
      <c r="N28" s="60">
        <v>0.2</v>
      </c>
      <c r="O28" s="60" t="s">
        <v>962</v>
      </c>
      <c r="Q28" s="72"/>
    </row>
    <row r="29" spans="1:17" ht="16.350000000000001" customHeight="1" x14ac:dyDescent="0.45">
      <c r="A29" s="71">
        <v>11</v>
      </c>
      <c r="B29" s="71">
        <v>7</v>
      </c>
      <c r="C29" s="60">
        <v>28</v>
      </c>
      <c r="D29" s="60" t="s">
        <v>17</v>
      </c>
      <c r="E29" s="60" t="s">
        <v>976</v>
      </c>
      <c r="F29" s="60" t="s">
        <v>2</v>
      </c>
      <c r="G29" s="60">
        <v>100</v>
      </c>
      <c r="H29" s="60">
        <v>100</v>
      </c>
      <c r="I29" s="60">
        <v>30</v>
      </c>
      <c r="Q29" s="72"/>
    </row>
    <row r="30" spans="1:17" ht="16.350000000000001" customHeight="1" x14ac:dyDescent="0.45">
      <c r="A30" s="71">
        <v>11</v>
      </c>
      <c r="B30" s="71">
        <v>8</v>
      </c>
      <c r="C30" s="60">
        <v>29</v>
      </c>
      <c r="D30" s="60" t="s">
        <v>54</v>
      </c>
      <c r="E30" s="60" t="s">
        <v>977</v>
      </c>
      <c r="F30" s="60">
        <v>100</v>
      </c>
      <c r="G30" s="60">
        <v>100</v>
      </c>
      <c r="H30" s="60">
        <v>60</v>
      </c>
      <c r="I30" s="60">
        <v>0</v>
      </c>
      <c r="J30" s="60">
        <v>5</v>
      </c>
      <c r="Q30" s="72"/>
    </row>
    <row r="31" spans="1:17" ht="16.350000000000001" customHeight="1" x14ac:dyDescent="0.45">
      <c r="A31" s="71">
        <v>11</v>
      </c>
      <c r="B31" s="71">
        <v>9</v>
      </c>
      <c r="C31" s="60">
        <v>30</v>
      </c>
      <c r="D31" s="60" t="s">
        <v>279</v>
      </c>
      <c r="E31" s="60" t="s">
        <v>978</v>
      </c>
      <c r="F31" s="60" t="s">
        <v>203</v>
      </c>
      <c r="G31" s="60">
        <v>100</v>
      </c>
      <c r="H31" s="60">
        <v>100</v>
      </c>
      <c r="I31" s="60">
        <v>0</v>
      </c>
      <c r="J31" s="60" t="s">
        <v>1097</v>
      </c>
      <c r="K31" s="60">
        <v>0</v>
      </c>
      <c r="L31" s="60" t="s">
        <v>136</v>
      </c>
      <c r="M31" s="60" t="s">
        <v>136</v>
      </c>
      <c r="Q31" s="72"/>
    </row>
    <row r="32" spans="1:17" ht="16.350000000000001" customHeight="1" x14ac:dyDescent="0.45">
      <c r="A32" s="71">
        <v>11</v>
      </c>
      <c r="B32" s="71">
        <v>10</v>
      </c>
      <c r="C32" s="60">
        <v>31</v>
      </c>
      <c r="D32" s="60" t="s">
        <v>279</v>
      </c>
      <c r="E32" s="60" t="s">
        <v>979</v>
      </c>
      <c r="F32" s="60" t="s">
        <v>203</v>
      </c>
      <c r="G32" s="60">
        <v>100</v>
      </c>
      <c r="H32" s="60">
        <v>100</v>
      </c>
      <c r="I32" s="60">
        <v>0</v>
      </c>
      <c r="J32" s="60" t="s">
        <v>1098</v>
      </c>
      <c r="K32" s="60">
        <v>0</v>
      </c>
      <c r="L32" s="60" t="s">
        <v>136</v>
      </c>
      <c r="M32" s="60" t="s">
        <v>136</v>
      </c>
      <c r="Q32" s="72"/>
    </row>
    <row r="33" spans="1:17" ht="16.350000000000001" customHeight="1" x14ac:dyDescent="0.45">
      <c r="A33" s="71">
        <v>11</v>
      </c>
      <c r="B33" s="71">
        <v>4</v>
      </c>
      <c r="C33" s="60">
        <v>32</v>
      </c>
      <c r="D33" s="60" t="s">
        <v>206</v>
      </c>
      <c r="E33" s="60">
        <v>100</v>
      </c>
      <c r="F33" s="60">
        <v>100</v>
      </c>
      <c r="G33" s="60" t="s">
        <v>1095</v>
      </c>
      <c r="H33" s="60" t="s">
        <v>1096</v>
      </c>
      <c r="I33" s="60" t="s">
        <v>922</v>
      </c>
      <c r="J33" s="60">
        <v>0</v>
      </c>
      <c r="K33" s="60">
        <v>1</v>
      </c>
      <c r="L33" s="60">
        <v>300</v>
      </c>
      <c r="M33" s="60" t="s">
        <v>1099</v>
      </c>
      <c r="N33" s="60">
        <v>0.2</v>
      </c>
      <c r="P33" s="60" t="s">
        <v>875</v>
      </c>
      <c r="Q33" s="72"/>
    </row>
    <row r="34" spans="1:17" ht="16.350000000000001" customHeight="1" x14ac:dyDescent="0.45">
      <c r="A34" s="71">
        <v>11</v>
      </c>
      <c r="B34" s="71">
        <v>5</v>
      </c>
      <c r="C34" s="60">
        <v>33</v>
      </c>
      <c r="D34" s="60" t="s">
        <v>205</v>
      </c>
      <c r="E34" s="60" t="s">
        <v>919</v>
      </c>
      <c r="F34" s="60" t="s">
        <v>967</v>
      </c>
      <c r="G34" s="60">
        <v>0.8</v>
      </c>
      <c r="H34" s="60">
        <v>0</v>
      </c>
      <c r="I34" s="60">
        <v>1</v>
      </c>
      <c r="J34" s="60">
        <v>64</v>
      </c>
      <c r="K34" s="60">
        <v>1.25</v>
      </c>
      <c r="L34" s="60">
        <v>0.2</v>
      </c>
      <c r="N34" s="60">
        <v>400</v>
      </c>
      <c r="Q34" s="72"/>
    </row>
    <row r="35" spans="1:17" ht="16.350000000000001" customHeight="1" x14ac:dyDescent="0.45">
      <c r="A35" s="71">
        <v>11</v>
      </c>
      <c r="B35" s="71">
        <v>6</v>
      </c>
      <c r="C35" s="60">
        <v>34</v>
      </c>
      <c r="D35" s="60" t="s">
        <v>10</v>
      </c>
      <c r="E35" s="60">
        <v>100</v>
      </c>
      <c r="F35" s="60">
        <v>100</v>
      </c>
      <c r="G35" s="60">
        <v>0.8</v>
      </c>
      <c r="H35" s="60">
        <v>15</v>
      </c>
      <c r="I35" s="60">
        <v>0</v>
      </c>
      <c r="J35" s="60">
        <v>30</v>
      </c>
      <c r="K35" s="60" t="s">
        <v>38</v>
      </c>
      <c r="L35" s="60">
        <v>30</v>
      </c>
      <c r="M35" s="60">
        <v>1.25</v>
      </c>
      <c r="N35" s="60">
        <v>0.2</v>
      </c>
      <c r="O35" s="60" t="s">
        <v>962</v>
      </c>
      <c r="Q35" s="72"/>
    </row>
    <row r="36" spans="1:17" ht="16.350000000000001" customHeight="1" x14ac:dyDescent="0.45">
      <c r="A36" s="71">
        <v>11</v>
      </c>
      <c r="B36" s="71">
        <v>7</v>
      </c>
      <c r="C36" s="60">
        <v>35</v>
      </c>
      <c r="D36" s="60" t="s">
        <v>17</v>
      </c>
      <c r="E36" s="60" t="s">
        <v>980</v>
      </c>
      <c r="F36" s="60" t="s">
        <v>2</v>
      </c>
      <c r="G36" s="60">
        <v>100</v>
      </c>
      <c r="H36" s="60">
        <v>100</v>
      </c>
      <c r="I36" s="60">
        <v>30</v>
      </c>
      <c r="Q36" s="72"/>
    </row>
    <row r="37" spans="1:17" ht="16.350000000000001" customHeight="1" x14ac:dyDescent="0.45">
      <c r="A37" s="71">
        <v>11</v>
      </c>
      <c r="B37" s="71">
        <v>8</v>
      </c>
      <c r="C37" s="60">
        <v>36</v>
      </c>
      <c r="D37" s="60" t="s">
        <v>54</v>
      </c>
      <c r="E37" s="60" t="s">
        <v>981</v>
      </c>
      <c r="F37" s="60">
        <v>100</v>
      </c>
      <c r="G37" s="60">
        <v>100</v>
      </c>
      <c r="H37" s="60">
        <v>60</v>
      </c>
      <c r="I37" s="60">
        <v>0</v>
      </c>
      <c r="J37" s="60">
        <v>5</v>
      </c>
      <c r="Q37" s="72"/>
    </row>
    <row r="38" spans="1:17" ht="16.350000000000001" customHeight="1" x14ac:dyDescent="0.45">
      <c r="A38" s="71">
        <v>11</v>
      </c>
      <c r="B38" s="71">
        <v>9</v>
      </c>
      <c r="C38" s="60">
        <v>37</v>
      </c>
      <c r="D38" s="60" t="s">
        <v>279</v>
      </c>
      <c r="E38" s="60" t="s">
        <v>982</v>
      </c>
      <c r="F38" s="60" t="s">
        <v>203</v>
      </c>
      <c r="G38" s="60">
        <v>100</v>
      </c>
      <c r="H38" s="60">
        <v>100</v>
      </c>
      <c r="I38" s="60">
        <v>0</v>
      </c>
      <c r="J38" s="60" t="s">
        <v>1097</v>
      </c>
      <c r="K38" s="60">
        <v>0</v>
      </c>
      <c r="L38" s="60" t="s">
        <v>136</v>
      </c>
      <c r="M38" s="60" t="s">
        <v>136</v>
      </c>
      <c r="O38" s="72"/>
      <c r="Q38" s="72"/>
    </row>
    <row r="39" spans="1:17" ht="16.350000000000001" customHeight="1" x14ac:dyDescent="0.45">
      <c r="A39" s="71">
        <v>11</v>
      </c>
      <c r="B39" s="71">
        <v>10</v>
      </c>
      <c r="C39" s="60">
        <v>38</v>
      </c>
      <c r="D39" s="60" t="s">
        <v>279</v>
      </c>
      <c r="E39" s="60" t="s">
        <v>983</v>
      </c>
      <c r="F39" s="60" t="s">
        <v>203</v>
      </c>
      <c r="G39" s="60">
        <v>100</v>
      </c>
      <c r="H39" s="60">
        <v>100</v>
      </c>
      <c r="I39" s="60">
        <v>0</v>
      </c>
      <c r="J39" s="60" t="s">
        <v>1098</v>
      </c>
      <c r="K39" s="60">
        <v>0</v>
      </c>
      <c r="L39" s="60" t="s">
        <v>136</v>
      </c>
      <c r="M39" s="60" t="s">
        <v>136</v>
      </c>
      <c r="Q39" s="72"/>
    </row>
    <row r="40" spans="1:17" ht="16.350000000000001" customHeight="1" x14ac:dyDescent="0.45">
      <c r="A40" s="71">
        <v>11</v>
      </c>
      <c r="B40" s="71">
        <v>4</v>
      </c>
      <c r="C40" s="60">
        <v>39</v>
      </c>
      <c r="D40" s="60" t="s">
        <v>206</v>
      </c>
      <c r="E40" s="60">
        <v>100</v>
      </c>
      <c r="F40" s="60">
        <v>100</v>
      </c>
      <c r="G40" s="60" t="s">
        <v>1095</v>
      </c>
      <c r="H40" s="60" t="s">
        <v>1096</v>
      </c>
      <c r="I40" s="60" t="s">
        <v>923</v>
      </c>
      <c r="J40" s="60">
        <v>0</v>
      </c>
      <c r="K40" s="60">
        <v>1</v>
      </c>
      <c r="L40" s="60">
        <v>300</v>
      </c>
      <c r="M40" s="60" t="s">
        <v>1099</v>
      </c>
      <c r="N40" s="60">
        <v>0.2</v>
      </c>
      <c r="P40" s="60" t="s">
        <v>875</v>
      </c>
      <c r="Q40" s="72"/>
    </row>
    <row r="41" spans="1:17" ht="16.350000000000001" customHeight="1" x14ac:dyDescent="0.45">
      <c r="A41" s="71">
        <v>11</v>
      </c>
      <c r="B41" s="71">
        <v>5</v>
      </c>
      <c r="C41" s="60">
        <v>40</v>
      </c>
      <c r="D41" s="60" t="s">
        <v>205</v>
      </c>
      <c r="E41" s="60" t="s">
        <v>919</v>
      </c>
      <c r="F41" s="60" t="s">
        <v>967</v>
      </c>
      <c r="G41" s="60">
        <v>1</v>
      </c>
      <c r="H41" s="60">
        <v>0</v>
      </c>
      <c r="I41" s="60">
        <v>1</v>
      </c>
      <c r="J41" s="60">
        <v>64</v>
      </c>
      <c r="K41" s="60">
        <v>1.25</v>
      </c>
      <c r="L41" s="60">
        <v>0.2</v>
      </c>
      <c r="N41" s="60">
        <v>400</v>
      </c>
      <c r="Q41" s="72"/>
    </row>
    <row r="42" spans="1:17" ht="16.350000000000001" customHeight="1" x14ac:dyDescent="0.45">
      <c r="A42" s="71">
        <v>11</v>
      </c>
      <c r="B42" s="71">
        <v>6</v>
      </c>
      <c r="C42" s="60">
        <v>41</v>
      </c>
      <c r="D42" s="60" t="s">
        <v>10</v>
      </c>
      <c r="E42" s="60">
        <v>100</v>
      </c>
      <c r="F42" s="60">
        <v>100</v>
      </c>
      <c r="G42" s="60">
        <v>1</v>
      </c>
      <c r="H42" s="60">
        <v>15</v>
      </c>
      <c r="I42" s="60">
        <v>0</v>
      </c>
      <c r="J42" s="60">
        <v>30</v>
      </c>
      <c r="K42" s="60" t="s">
        <v>38</v>
      </c>
      <c r="L42" s="60">
        <v>30</v>
      </c>
      <c r="M42" s="60">
        <v>1.25</v>
      </c>
      <c r="N42" s="60">
        <v>0.2</v>
      </c>
      <c r="O42" s="60" t="s">
        <v>962</v>
      </c>
      <c r="Q42" s="72"/>
    </row>
    <row r="43" spans="1:17" ht="16.350000000000001" customHeight="1" x14ac:dyDescent="0.45">
      <c r="A43" s="71">
        <v>11</v>
      </c>
      <c r="B43" s="71">
        <v>7</v>
      </c>
      <c r="C43" s="60">
        <v>42</v>
      </c>
      <c r="D43" s="60" t="s">
        <v>17</v>
      </c>
      <c r="E43" s="60" t="s">
        <v>984</v>
      </c>
      <c r="F43" s="60" t="s">
        <v>2</v>
      </c>
      <c r="G43" s="60">
        <v>100</v>
      </c>
      <c r="H43" s="60">
        <v>100</v>
      </c>
      <c r="I43" s="60">
        <v>30</v>
      </c>
      <c r="Q43" s="72"/>
    </row>
    <row r="44" spans="1:17" ht="16.350000000000001" customHeight="1" x14ac:dyDescent="0.45">
      <c r="A44" s="71">
        <v>11</v>
      </c>
      <c r="B44" s="71">
        <v>8</v>
      </c>
      <c r="C44" s="60">
        <v>43</v>
      </c>
      <c r="D44" s="60" t="s">
        <v>54</v>
      </c>
      <c r="E44" s="60" t="s">
        <v>985</v>
      </c>
      <c r="F44" s="60">
        <v>100</v>
      </c>
      <c r="G44" s="60">
        <v>100</v>
      </c>
      <c r="H44" s="60">
        <v>60</v>
      </c>
      <c r="I44" s="60">
        <v>0</v>
      </c>
      <c r="J44" s="60">
        <v>5</v>
      </c>
      <c r="Q44" s="72"/>
    </row>
    <row r="45" spans="1:17" ht="16.350000000000001" customHeight="1" x14ac:dyDescent="0.45">
      <c r="A45" s="71">
        <v>11</v>
      </c>
      <c r="B45" s="71">
        <v>9</v>
      </c>
      <c r="C45" s="60">
        <v>44</v>
      </c>
      <c r="D45" s="60" t="s">
        <v>279</v>
      </c>
      <c r="E45" s="60" t="s">
        <v>986</v>
      </c>
      <c r="F45" s="60" t="s">
        <v>203</v>
      </c>
      <c r="G45" s="60">
        <v>100</v>
      </c>
      <c r="H45" s="60">
        <v>100</v>
      </c>
      <c r="I45" s="60">
        <v>0</v>
      </c>
      <c r="J45" s="60" t="s">
        <v>1097</v>
      </c>
      <c r="K45" s="60">
        <v>0</v>
      </c>
      <c r="L45" s="60" t="s">
        <v>136</v>
      </c>
      <c r="M45" s="60" t="s">
        <v>136</v>
      </c>
      <c r="Q45" s="72"/>
    </row>
    <row r="46" spans="1:17" ht="16.350000000000001" customHeight="1" x14ac:dyDescent="0.45">
      <c r="A46" s="71">
        <v>11</v>
      </c>
      <c r="B46" s="71">
        <v>10</v>
      </c>
      <c r="C46" s="60">
        <v>45</v>
      </c>
      <c r="D46" s="60" t="s">
        <v>279</v>
      </c>
      <c r="E46" s="60" t="s">
        <v>987</v>
      </c>
      <c r="F46" s="60" t="s">
        <v>203</v>
      </c>
      <c r="G46" s="60">
        <v>100</v>
      </c>
      <c r="H46" s="60">
        <v>100</v>
      </c>
      <c r="I46" s="60">
        <v>0</v>
      </c>
      <c r="J46" s="60" t="s">
        <v>1098</v>
      </c>
      <c r="K46" s="60">
        <v>0</v>
      </c>
      <c r="L46" s="60" t="s">
        <v>136</v>
      </c>
      <c r="M46" s="60" t="s">
        <v>136</v>
      </c>
      <c r="Q46" s="72"/>
    </row>
    <row r="47" spans="1:17" ht="16.350000000000001" customHeight="1" x14ac:dyDescent="0.45">
      <c r="A47" s="71">
        <v>11</v>
      </c>
      <c r="B47" s="71">
        <v>4</v>
      </c>
      <c r="C47" s="60">
        <v>46</v>
      </c>
      <c r="D47" s="60" t="s">
        <v>206</v>
      </c>
      <c r="E47" s="60">
        <v>100</v>
      </c>
      <c r="F47" s="60">
        <v>100</v>
      </c>
      <c r="G47" s="60" t="s">
        <v>1095</v>
      </c>
      <c r="H47" s="60" t="s">
        <v>1096</v>
      </c>
      <c r="I47" s="60" t="s">
        <v>924</v>
      </c>
      <c r="J47" s="60">
        <v>0</v>
      </c>
      <c r="K47" s="60">
        <v>1</v>
      </c>
      <c r="L47" s="60">
        <v>300</v>
      </c>
      <c r="M47" s="60" t="s">
        <v>1099</v>
      </c>
      <c r="N47" s="60">
        <v>0.2</v>
      </c>
      <c r="P47" s="60" t="s">
        <v>875</v>
      </c>
      <c r="Q47" s="72"/>
    </row>
    <row r="48" spans="1:17" ht="16.350000000000001" customHeight="1" x14ac:dyDescent="0.45">
      <c r="A48" s="71">
        <v>11</v>
      </c>
      <c r="B48" s="71">
        <v>5</v>
      </c>
      <c r="C48" s="60">
        <v>47</v>
      </c>
      <c r="D48" s="60" t="s">
        <v>205</v>
      </c>
      <c r="E48" s="60" t="s">
        <v>919</v>
      </c>
      <c r="F48" s="60" t="s">
        <v>967</v>
      </c>
      <c r="G48" s="60">
        <v>1.2000000000000002</v>
      </c>
      <c r="H48" s="60">
        <v>0</v>
      </c>
      <c r="I48" s="60">
        <v>1</v>
      </c>
      <c r="J48" s="60">
        <v>64</v>
      </c>
      <c r="K48" s="60">
        <v>1.25</v>
      </c>
      <c r="L48" s="60">
        <v>0.2</v>
      </c>
      <c r="N48" s="60">
        <v>400</v>
      </c>
    </row>
    <row r="49" spans="1:17" ht="16.350000000000001" customHeight="1" x14ac:dyDescent="0.45">
      <c r="A49" s="71">
        <v>11</v>
      </c>
      <c r="B49" s="71">
        <v>6</v>
      </c>
      <c r="C49" s="60">
        <v>48</v>
      </c>
      <c r="D49" s="60" t="s">
        <v>10</v>
      </c>
      <c r="E49" s="60">
        <v>100</v>
      </c>
      <c r="F49" s="60">
        <v>100</v>
      </c>
      <c r="G49" s="60">
        <v>1.2000000000000002</v>
      </c>
      <c r="H49" s="60">
        <v>15</v>
      </c>
      <c r="I49" s="60">
        <v>0</v>
      </c>
      <c r="J49" s="60">
        <v>30</v>
      </c>
      <c r="K49" s="60" t="s">
        <v>38</v>
      </c>
      <c r="L49" s="60">
        <v>30</v>
      </c>
      <c r="M49" s="60">
        <v>1.25</v>
      </c>
      <c r="N49" s="60">
        <v>0.2</v>
      </c>
      <c r="O49" s="72" t="s">
        <v>962</v>
      </c>
      <c r="Q49" s="72"/>
    </row>
    <row r="50" spans="1:17" ht="16.350000000000001" customHeight="1" x14ac:dyDescent="0.45">
      <c r="A50" s="71">
        <v>11</v>
      </c>
      <c r="B50" s="71">
        <v>7</v>
      </c>
      <c r="C50" s="60">
        <v>49</v>
      </c>
      <c r="D50" s="60" t="s">
        <v>17</v>
      </c>
      <c r="E50" s="60" t="s">
        <v>988</v>
      </c>
      <c r="F50" s="60" t="s">
        <v>2</v>
      </c>
      <c r="G50" s="60">
        <v>100</v>
      </c>
      <c r="H50" s="60">
        <v>100</v>
      </c>
      <c r="I50" s="60">
        <v>30</v>
      </c>
      <c r="Q50" s="72"/>
    </row>
    <row r="51" spans="1:17" ht="16.350000000000001" customHeight="1" x14ac:dyDescent="0.45">
      <c r="A51" s="71">
        <v>11</v>
      </c>
      <c r="B51" s="71">
        <v>8</v>
      </c>
      <c r="C51" s="60">
        <v>50</v>
      </c>
      <c r="D51" s="60" t="s">
        <v>54</v>
      </c>
      <c r="E51" s="60" t="s">
        <v>989</v>
      </c>
      <c r="F51" s="60">
        <v>100</v>
      </c>
      <c r="G51" s="60">
        <v>100</v>
      </c>
      <c r="H51" s="60">
        <v>60</v>
      </c>
      <c r="I51" s="60">
        <v>0</v>
      </c>
      <c r="J51" s="60">
        <v>5</v>
      </c>
      <c r="Q51" s="72"/>
    </row>
    <row r="52" spans="1:17" ht="16.350000000000001" customHeight="1" x14ac:dyDescent="0.45">
      <c r="A52" s="71">
        <v>11</v>
      </c>
      <c r="B52" s="71">
        <v>9</v>
      </c>
      <c r="C52" s="60">
        <v>51</v>
      </c>
      <c r="D52" s="60" t="s">
        <v>279</v>
      </c>
      <c r="E52" s="60" t="s">
        <v>990</v>
      </c>
      <c r="F52" s="60" t="s">
        <v>203</v>
      </c>
      <c r="G52" s="60">
        <v>100</v>
      </c>
      <c r="H52" s="60">
        <v>100</v>
      </c>
      <c r="I52" s="60">
        <v>0</v>
      </c>
      <c r="J52" s="60" t="s">
        <v>1097</v>
      </c>
      <c r="K52" s="60">
        <v>0</v>
      </c>
      <c r="L52" s="60" t="s">
        <v>136</v>
      </c>
      <c r="M52" s="60" t="s">
        <v>136</v>
      </c>
      <c r="Q52" s="72"/>
    </row>
    <row r="53" spans="1:17" ht="16.350000000000001" customHeight="1" x14ac:dyDescent="0.45">
      <c r="A53" s="71">
        <v>11</v>
      </c>
      <c r="B53" s="71">
        <v>10</v>
      </c>
      <c r="C53" s="60">
        <v>52</v>
      </c>
      <c r="D53" s="60" t="s">
        <v>279</v>
      </c>
      <c r="E53" s="60" t="s">
        <v>991</v>
      </c>
      <c r="F53" s="60" t="s">
        <v>203</v>
      </c>
      <c r="G53" s="60">
        <v>100</v>
      </c>
      <c r="H53" s="60">
        <v>100</v>
      </c>
      <c r="I53" s="60">
        <v>0</v>
      </c>
      <c r="J53" s="60" t="s">
        <v>1098</v>
      </c>
      <c r="K53" s="60">
        <v>0</v>
      </c>
      <c r="L53" s="60" t="s">
        <v>136</v>
      </c>
      <c r="M53" s="60" t="s">
        <v>136</v>
      </c>
      <c r="Q53" s="72"/>
    </row>
    <row r="54" spans="1:17" ht="16.350000000000001" customHeight="1" x14ac:dyDescent="0.45">
      <c r="A54" s="71">
        <v>11</v>
      </c>
      <c r="B54" s="71">
        <v>4</v>
      </c>
      <c r="C54" s="60">
        <v>53</v>
      </c>
      <c r="D54" s="60" t="s">
        <v>206</v>
      </c>
      <c r="E54" s="60">
        <v>100</v>
      </c>
      <c r="F54" s="60">
        <v>100</v>
      </c>
      <c r="G54" s="60" t="s">
        <v>1095</v>
      </c>
      <c r="H54" s="60" t="s">
        <v>1096</v>
      </c>
      <c r="I54" s="60" t="s">
        <v>925</v>
      </c>
      <c r="J54" s="60">
        <v>0</v>
      </c>
      <c r="K54" s="60">
        <v>1</v>
      </c>
      <c r="L54" s="60">
        <v>300</v>
      </c>
      <c r="M54" s="60" t="s">
        <v>1099</v>
      </c>
      <c r="N54" s="60">
        <v>0.2</v>
      </c>
      <c r="P54" s="60" t="s">
        <v>875</v>
      </c>
      <c r="Q54" s="72"/>
    </row>
    <row r="55" spans="1:17" ht="16.350000000000001" customHeight="1" x14ac:dyDescent="0.45">
      <c r="A55" s="71">
        <v>11</v>
      </c>
      <c r="B55" s="71">
        <v>5</v>
      </c>
      <c r="C55" s="60">
        <v>54</v>
      </c>
      <c r="D55" s="60" t="s">
        <v>205</v>
      </c>
      <c r="E55" s="60" t="s">
        <v>919</v>
      </c>
      <c r="F55" s="60" t="s">
        <v>967</v>
      </c>
      <c r="G55" s="60">
        <v>1.4000000000000001</v>
      </c>
      <c r="H55" s="60">
        <v>0</v>
      </c>
      <c r="I55" s="60">
        <v>1</v>
      </c>
      <c r="J55" s="60">
        <v>64</v>
      </c>
      <c r="K55" s="60">
        <v>1.25</v>
      </c>
      <c r="L55" s="60">
        <v>0.2</v>
      </c>
      <c r="N55" s="60">
        <v>400</v>
      </c>
      <c r="Q55" s="72"/>
    </row>
    <row r="56" spans="1:17" ht="16.350000000000001" customHeight="1" x14ac:dyDescent="0.45">
      <c r="A56" s="71">
        <v>11</v>
      </c>
      <c r="B56" s="71">
        <v>6</v>
      </c>
      <c r="C56" s="60">
        <v>55</v>
      </c>
      <c r="D56" s="60" t="s">
        <v>10</v>
      </c>
      <c r="E56" s="60">
        <v>100</v>
      </c>
      <c r="F56" s="60">
        <v>100</v>
      </c>
      <c r="G56" s="60">
        <v>1.4000000000000001</v>
      </c>
      <c r="H56" s="60">
        <v>15</v>
      </c>
      <c r="I56" s="60">
        <v>0</v>
      </c>
      <c r="J56" s="60">
        <v>30</v>
      </c>
      <c r="K56" s="60" t="s">
        <v>38</v>
      </c>
      <c r="L56" s="60">
        <v>30</v>
      </c>
      <c r="M56" s="60">
        <v>1.25</v>
      </c>
      <c r="N56" s="60">
        <v>0.2</v>
      </c>
      <c r="O56" s="60" t="s">
        <v>962</v>
      </c>
      <c r="Q56" s="72"/>
    </row>
    <row r="57" spans="1:17" ht="16.350000000000001" customHeight="1" x14ac:dyDescent="0.45">
      <c r="A57" s="71">
        <v>11</v>
      </c>
      <c r="B57" s="71">
        <v>7</v>
      </c>
      <c r="C57" s="60">
        <v>56</v>
      </c>
      <c r="D57" s="60" t="s">
        <v>17</v>
      </c>
      <c r="E57" s="60" t="s">
        <v>992</v>
      </c>
      <c r="F57" s="60" t="s">
        <v>2</v>
      </c>
      <c r="G57" s="60">
        <v>100</v>
      </c>
      <c r="H57" s="60">
        <v>100</v>
      </c>
      <c r="I57" s="60">
        <v>30</v>
      </c>
      <c r="Q57" s="72"/>
    </row>
    <row r="58" spans="1:17" ht="16.350000000000001" customHeight="1" x14ac:dyDescent="0.45">
      <c r="A58" s="71">
        <v>11</v>
      </c>
      <c r="B58" s="71">
        <v>8</v>
      </c>
      <c r="C58" s="60">
        <v>57</v>
      </c>
      <c r="D58" s="60" t="s">
        <v>54</v>
      </c>
      <c r="E58" s="60" t="s">
        <v>993</v>
      </c>
      <c r="F58" s="60">
        <v>100</v>
      </c>
      <c r="G58" s="60">
        <v>100</v>
      </c>
      <c r="H58" s="60">
        <v>60</v>
      </c>
      <c r="I58" s="60">
        <v>0</v>
      </c>
      <c r="J58" s="60">
        <v>5</v>
      </c>
      <c r="Q58" s="72"/>
    </row>
    <row r="59" spans="1:17" ht="16.350000000000001" customHeight="1" x14ac:dyDescent="0.45">
      <c r="A59" s="71">
        <v>11</v>
      </c>
      <c r="B59" s="71">
        <v>9</v>
      </c>
      <c r="C59" s="60">
        <v>58</v>
      </c>
      <c r="D59" s="60" t="s">
        <v>279</v>
      </c>
      <c r="E59" s="60" t="s">
        <v>994</v>
      </c>
      <c r="F59" s="60" t="s">
        <v>203</v>
      </c>
      <c r="G59" s="60">
        <v>100</v>
      </c>
      <c r="H59" s="60">
        <v>100</v>
      </c>
      <c r="I59" s="60">
        <v>0</v>
      </c>
      <c r="J59" s="60" t="s">
        <v>1097</v>
      </c>
      <c r="K59" s="60">
        <v>0</v>
      </c>
      <c r="L59" s="60" t="s">
        <v>136</v>
      </c>
      <c r="M59" s="60" t="s">
        <v>136</v>
      </c>
      <c r="Q59" s="72"/>
    </row>
    <row r="60" spans="1:17" ht="16.350000000000001" customHeight="1" x14ac:dyDescent="0.45">
      <c r="A60" s="71">
        <v>11</v>
      </c>
      <c r="B60" s="71">
        <v>10</v>
      </c>
      <c r="C60" s="60">
        <v>59</v>
      </c>
      <c r="D60" s="60" t="s">
        <v>279</v>
      </c>
      <c r="E60" s="60" t="s">
        <v>995</v>
      </c>
      <c r="F60" s="60" t="s">
        <v>203</v>
      </c>
      <c r="G60" s="60">
        <v>100</v>
      </c>
      <c r="H60" s="60">
        <v>100</v>
      </c>
      <c r="I60" s="60">
        <v>0</v>
      </c>
      <c r="J60" s="60" t="s">
        <v>1098</v>
      </c>
      <c r="K60" s="60">
        <v>0</v>
      </c>
      <c r="L60" s="60" t="s">
        <v>136</v>
      </c>
      <c r="M60" s="60" t="s">
        <v>136</v>
      </c>
      <c r="O60" s="72"/>
      <c r="Q60" s="72"/>
    </row>
    <row r="61" spans="1:17" ht="16.350000000000001" customHeight="1" x14ac:dyDescent="0.45">
      <c r="A61" s="71">
        <v>11</v>
      </c>
      <c r="B61" s="71">
        <v>4</v>
      </c>
      <c r="C61" s="60">
        <v>60</v>
      </c>
      <c r="D61" s="60" t="s">
        <v>206</v>
      </c>
      <c r="E61" s="60">
        <v>100</v>
      </c>
      <c r="F61" s="60">
        <v>100</v>
      </c>
      <c r="G61" s="60" t="s">
        <v>1095</v>
      </c>
      <c r="H61" s="60" t="s">
        <v>1096</v>
      </c>
      <c r="I61" s="60" t="s">
        <v>926</v>
      </c>
      <c r="J61" s="60">
        <v>0</v>
      </c>
      <c r="K61" s="60">
        <v>1</v>
      </c>
      <c r="L61" s="60">
        <v>300</v>
      </c>
      <c r="M61" s="60" t="s">
        <v>1099</v>
      </c>
      <c r="N61" s="60">
        <v>0.2</v>
      </c>
      <c r="P61" s="60" t="s">
        <v>875</v>
      </c>
      <c r="Q61" s="72"/>
    </row>
    <row r="62" spans="1:17" ht="16.350000000000001" customHeight="1" x14ac:dyDescent="0.45">
      <c r="A62" s="71">
        <v>11</v>
      </c>
      <c r="B62" s="71">
        <v>5</v>
      </c>
      <c r="C62" s="60">
        <v>61</v>
      </c>
      <c r="D62" s="60" t="s">
        <v>205</v>
      </c>
      <c r="E62" s="60" t="s">
        <v>919</v>
      </c>
      <c r="F62" s="60" t="s">
        <v>967</v>
      </c>
      <c r="G62" s="60">
        <v>1.6</v>
      </c>
      <c r="H62" s="60">
        <v>0</v>
      </c>
      <c r="I62" s="60">
        <v>1</v>
      </c>
      <c r="J62" s="60">
        <v>64</v>
      </c>
      <c r="K62" s="60">
        <v>1.25</v>
      </c>
      <c r="L62" s="60">
        <v>0.2</v>
      </c>
      <c r="N62" s="60">
        <v>400</v>
      </c>
      <c r="Q62" s="72"/>
    </row>
    <row r="63" spans="1:17" ht="16.350000000000001" customHeight="1" x14ac:dyDescent="0.45">
      <c r="A63" s="71">
        <v>11</v>
      </c>
      <c r="B63" s="71">
        <v>6</v>
      </c>
      <c r="C63" s="60">
        <v>62</v>
      </c>
      <c r="D63" s="60" t="s">
        <v>10</v>
      </c>
      <c r="E63" s="60">
        <v>100</v>
      </c>
      <c r="F63" s="60">
        <v>100</v>
      </c>
      <c r="G63" s="60">
        <v>1.6</v>
      </c>
      <c r="H63" s="60">
        <v>15</v>
      </c>
      <c r="I63" s="60">
        <v>0</v>
      </c>
      <c r="J63" s="60">
        <v>30</v>
      </c>
      <c r="K63" s="60" t="s">
        <v>38</v>
      </c>
      <c r="L63" s="60">
        <v>30</v>
      </c>
      <c r="M63" s="60">
        <v>1.25</v>
      </c>
      <c r="N63" s="60">
        <v>0.2</v>
      </c>
      <c r="O63" s="60" t="s">
        <v>962</v>
      </c>
      <c r="Q63" s="72"/>
    </row>
    <row r="64" spans="1:17" ht="16.350000000000001" customHeight="1" x14ac:dyDescent="0.45">
      <c r="A64" s="71">
        <v>11</v>
      </c>
      <c r="B64" s="71">
        <v>7</v>
      </c>
      <c r="C64" s="60">
        <v>63</v>
      </c>
      <c r="D64" s="60" t="s">
        <v>17</v>
      </c>
      <c r="E64" s="60" t="s">
        <v>996</v>
      </c>
      <c r="F64" s="60" t="s">
        <v>2</v>
      </c>
      <c r="G64" s="60">
        <v>100</v>
      </c>
      <c r="H64" s="60">
        <v>100</v>
      </c>
      <c r="I64" s="60">
        <v>30</v>
      </c>
      <c r="Q64" s="72"/>
    </row>
    <row r="65" spans="1:17" ht="16.350000000000001" customHeight="1" x14ac:dyDescent="0.45">
      <c r="A65" s="71">
        <v>11</v>
      </c>
      <c r="B65" s="71">
        <v>8</v>
      </c>
      <c r="C65" s="60">
        <v>64</v>
      </c>
      <c r="D65" s="60" t="s">
        <v>54</v>
      </c>
      <c r="E65" s="60" t="s">
        <v>997</v>
      </c>
      <c r="F65" s="60">
        <v>100</v>
      </c>
      <c r="G65" s="60">
        <v>100</v>
      </c>
      <c r="H65" s="60">
        <v>60</v>
      </c>
      <c r="I65" s="60">
        <v>0</v>
      </c>
      <c r="J65" s="60">
        <v>5</v>
      </c>
      <c r="Q65" s="72"/>
    </row>
    <row r="66" spans="1:17" ht="16.350000000000001" customHeight="1" x14ac:dyDescent="0.45">
      <c r="A66" s="71">
        <v>11</v>
      </c>
      <c r="B66" s="71">
        <v>9</v>
      </c>
      <c r="C66" s="60">
        <v>65</v>
      </c>
      <c r="D66" s="60" t="s">
        <v>279</v>
      </c>
      <c r="E66" s="60" t="s">
        <v>998</v>
      </c>
      <c r="F66" s="60" t="s">
        <v>203</v>
      </c>
      <c r="G66" s="60">
        <v>100</v>
      </c>
      <c r="H66" s="60">
        <v>100</v>
      </c>
      <c r="I66" s="60">
        <v>0</v>
      </c>
      <c r="J66" s="60" t="s">
        <v>1097</v>
      </c>
      <c r="K66" s="60">
        <v>0</v>
      </c>
      <c r="L66" s="60" t="s">
        <v>136</v>
      </c>
      <c r="M66" s="60" t="s">
        <v>136</v>
      </c>
    </row>
    <row r="67" spans="1:17" ht="16.350000000000001" customHeight="1" x14ac:dyDescent="0.45">
      <c r="A67" s="71">
        <v>11</v>
      </c>
      <c r="B67" s="71">
        <v>10</v>
      </c>
      <c r="C67" s="60">
        <v>66</v>
      </c>
      <c r="D67" s="60" t="s">
        <v>279</v>
      </c>
      <c r="E67" s="60" t="s">
        <v>999</v>
      </c>
      <c r="F67" s="60" t="s">
        <v>203</v>
      </c>
      <c r="G67" s="60">
        <v>100</v>
      </c>
      <c r="H67" s="60">
        <v>100</v>
      </c>
      <c r="I67" s="60">
        <v>0</v>
      </c>
      <c r="J67" s="60" t="s">
        <v>1098</v>
      </c>
      <c r="K67" s="60">
        <v>0</v>
      </c>
      <c r="L67" s="60" t="s">
        <v>136</v>
      </c>
      <c r="M67" s="60" t="s">
        <v>136</v>
      </c>
      <c r="Q67" s="72"/>
    </row>
    <row r="68" spans="1:17" ht="16.350000000000001" customHeight="1" x14ac:dyDescent="0.45">
      <c r="A68" s="71">
        <v>11</v>
      </c>
      <c r="B68" s="71">
        <v>4</v>
      </c>
      <c r="C68" s="60">
        <v>67</v>
      </c>
      <c r="D68" s="60" t="s">
        <v>206</v>
      </c>
      <c r="E68" s="60">
        <v>100</v>
      </c>
      <c r="F68" s="60">
        <v>100</v>
      </c>
      <c r="G68" s="60" t="s">
        <v>1095</v>
      </c>
      <c r="H68" s="60" t="s">
        <v>1096</v>
      </c>
      <c r="I68" s="60" t="s">
        <v>927</v>
      </c>
      <c r="J68" s="60">
        <v>0</v>
      </c>
      <c r="K68" s="60">
        <v>1</v>
      </c>
      <c r="L68" s="60">
        <v>300</v>
      </c>
      <c r="M68" s="60" t="s">
        <v>1099</v>
      </c>
      <c r="N68" s="60">
        <v>0.2</v>
      </c>
      <c r="P68" s="60" t="s">
        <v>875</v>
      </c>
    </row>
    <row r="69" spans="1:17" ht="16.350000000000001" customHeight="1" x14ac:dyDescent="0.45">
      <c r="A69" s="71">
        <v>11</v>
      </c>
      <c r="B69" s="71">
        <v>5</v>
      </c>
      <c r="C69" s="60">
        <v>68</v>
      </c>
      <c r="D69" s="60" t="s">
        <v>205</v>
      </c>
      <c r="E69" s="60" t="s">
        <v>919</v>
      </c>
      <c r="F69" s="60" t="s">
        <v>967</v>
      </c>
      <c r="G69" s="60">
        <v>1.8</v>
      </c>
      <c r="H69" s="60">
        <v>0</v>
      </c>
      <c r="I69" s="60">
        <v>1</v>
      </c>
      <c r="J69" s="60">
        <v>64</v>
      </c>
      <c r="K69" s="60">
        <v>1.25</v>
      </c>
      <c r="L69" s="60">
        <v>0.2</v>
      </c>
      <c r="N69" s="60">
        <v>400</v>
      </c>
      <c r="Q69" s="72"/>
    </row>
    <row r="70" spans="1:17" ht="16.350000000000001" customHeight="1" x14ac:dyDescent="0.45">
      <c r="A70" s="71">
        <v>11</v>
      </c>
      <c r="B70" s="71">
        <v>6</v>
      </c>
      <c r="C70" s="60">
        <v>69</v>
      </c>
      <c r="D70" s="60" t="s">
        <v>10</v>
      </c>
      <c r="E70" s="60">
        <v>100</v>
      </c>
      <c r="F70" s="60">
        <v>100</v>
      </c>
      <c r="G70" s="60">
        <v>1.8</v>
      </c>
      <c r="H70" s="60">
        <v>15</v>
      </c>
      <c r="I70" s="60">
        <v>0</v>
      </c>
      <c r="J70" s="60">
        <v>30</v>
      </c>
      <c r="K70" s="60" t="s">
        <v>38</v>
      </c>
      <c r="L70" s="60">
        <v>30</v>
      </c>
      <c r="M70" s="60">
        <v>1.25</v>
      </c>
      <c r="N70" s="60">
        <v>0.2</v>
      </c>
      <c r="O70" s="60" t="s">
        <v>962</v>
      </c>
      <c r="Q70" s="72"/>
    </row>
    <row r="71" spans="1:17" ht="16.350000000000001" customHeight="1" x14ac:dyDescent="0.45">
      <c r="A71" s="71">
        <v>11</v>
      </c>
      <c r="B71" s="71">
        <v>7</v>
      </c>
      <c r="C71" s="60">
        <v>70</v>
      </c>
      <c r="D71" s="60" t="s">
        <v>17</v>
      </c>
      <c r="E71" s="60" t="s">
        <v>1000</v>
      </c>
      <c r="F71" s="60" t="s">
        <v>2</v>
      </c>
      <c r="G71" s="60">
        <v>100</v>
      </c>
      <c r="H71" s="60">
        <v>100</v>
      </c>
      <c r="I71" s="60">
        <v>30</v>
      </c>
      <c r="O71" s="72"/>
      <c r="Q71" s="72"/>
    </row>
    <row r="72" spans="1:17" ht="16.350000000000001" customHeight="1" x14ac:dyDescent="0.45">
      <c r="A72" s="71">
        <v>11</v>
      </c>
      <c r="B72" s="71">
        <v>8</v>
      </c>
      <c r="C72" s="60">
        <v>71</v>
      </c>
      <c r="D72" s="60" t="s">
        <v>54</v>
      </c>
      <c r="E72" s="60" t="s">
        <v>1001</v>
      </c>
      <c r="F72" s="60">
        <v>100</v>
      </c>
      <c r="G72" s="60">
        <v>100</v>
      </c>
      <c r="H72" s="60">
        <v>60</v>
      </c>
      <c r="I72" s="60">
        <v>0</v>
      </c>
      <c r="J72" s="60">
        <v>5</v>
      </c>
    </row>
    <row r="73" spans="1:17" ht="16.350000000000001" customHeight="1" x14ac:dyDescent="0.45">
      <c r="A73" s="71">
        <v>11</v>
      </c>
      <c r="B73" s="71">
        <v>9</v>
      </c>
      <c r="C73" s="60">
        <v>72</v>
      </c>
      <c r="D73" s="60" t="s">
        <v>279</v>
      </c>
      <c r="E73" s="60" t="s">
        <v>1002</v>
      </c>
      <c r="F73" s="60" t="s">
        <v>203</v>
      </c>
      <c r="G73" s="60">
        <v>100</v>
      </c>
      <c r="H73" s="60">
        <v>100</v>
      </c>
      <c r="I73" s="60">
        <v>0</v>
      </c>
      <c r="J73" s="60" t="s">
        <v>1097</v>
      </c>
      <c r="K73" s="60">
        <v>0</v>
      </c>
      <c r="L73" s="60" t="s">
        <v>136</v>
      </c>
      <c r="M73" s="60" t="s">
        <v>136</v>
      </c>
    </row>
    <row r="74" spans="1:17" ht="16.350000000000001" customHeight="1" x14ac:dyDescent="0.45">
      <c r="A74" s="71">
        <v>11</v>
      </c>
      <c r="B74" s="71">
        <v>10</v>
      </c>
      <c r="C74" s="60">
        <v>73</v>
      </c>
      <c r="D74" s="60" t="s">
        <v>279</v>
      </c>
      <c r="E74" s="60" t="s">
        <v>1003</v>
      </c>
      <c r="F74" s="60" t="s">
        <v>203</v>
      </c>
      <c r="G74" s="60">
        <v>100</v>
      </c>
      <c r="H74" s="60">
        <v>100</v>
      </c>
      <c r="I74" s="60">
        <v>0</v>
      </c>
      <c r="J74" s="60" t="s">
        <v>1098</v>
      </c>
      <c r="K74" s="60">
        <v>0</v>
      </c>
      <c r="L74" s="60" t="s">
        <v>136</v>
      </c>
      <c r="M74" s="60" t="s">
        <v>136</v>
      </c>
    </row>
    <row r="75" spans="1:17" ht="16.350000000000001" customHeight="1" x14ac:dyDescent="0.45">
      <c r="A75" s="71">
        <v>11</v>
      </c>
      <c r="B75" s="71">
        <v>4</v>
      </c>
      <c r="C75" s="60">
        <v>74</v>
      </c>
      <c r="D75" s="60" t="s">
        <v>206</v>
      </c>
      <c r="E75" s="60">
        <v>100</v>
      </c>
      <c r="F75" s="60">
        <v>100</v>
      </c>
      <c r="G75" s="60" t="s">
        <v>1095</v>
      </c>
      <c r="H75" s="60" t="s">
        <v>1096</v>
      </c>
      <c r="I75" s="60" t="s">
        <v>928</v>
      </c>
      <c r="J75" s="60">
        <v>0</v>
      </c>
      <c r="K75" s="60">
        <v>1</v>
      </c>
      <c r="L75" s="60">
        <v>300</v>
      </c>
      <c r="M75" s="60" t="s">
        <v>1099</v>
      </c>
      <c r="N75" s="60">
        <v>0.2</v>
      </c>
      <c r="P75" s="60" t="s">
        <v>875</v>
      </c>
    </row>
    <row r="76" spans="1:17" ht="16.350000000000001" customHeight="1" x14ac:dyDescent="0.45">
      <c r="A76" s="71">
        <v>11</v>
      </c>
      <c r="B76" s="71">
        <v>5</v>
      </c>
      <c r="C76" s="60">
        <v>75</v>
      </c>
      <c r="D76" s="60" t="s">
        <v>205</v>
      </c>
      <c r="E76" s="60" t="s">
        <v>919</v>
      </c>
      <c r="F76" s="60" t="s">
        <v>967</v>
      </c>
      <c r="G76" s="60">
        <v>2</v>
      </c>
      <c r="H76" s="60">
        <v>0</v>
      </c>
      <c r="I76" s="60">
        <v>1</v>
      </c>
      <c r="J76" s="60">
        <v>64</v>
      </c>
      <c r="K76" s="60">
        <v>1.25</v>
      </c>
      <c r="L76" s="60">
        <v>0.2</v>
      </c>
      <c r="N76" s="60">
        <v>400</v>
      </c>
    </row>
    <row r="77" spans="1:17" ht="16.350000000000001" customHeight="1" x14ac:dyDescent="0.45">
      <c r="A77" s="71">
        <v>11</v>
      </c>
      <c r="B77" s="71">
        <v>6</v>
      </c>
      <c r="C77" s="60">
        <v>76</v>
      </c>
      <c r="D77" s="60" t="s">
        <v>10</v>
      </c>
      <c r="E77" s="60">
        <v>100</v>
      </c>
      <c r="F77" s="60">
        <v>100</v>
      </c>
      <c r="G77" s="60">
        <v>2</v>
      </c>
      <c r="H77" s="60">
        <v>15</v>
      </c>
      <c r="I77" s="60">
        <v>0</v>
      </c>
      <c r="J77" s="60">
        <v>30</v>
      </c>
      <c r="K77" s="60" t="s">
        <v>38</v>
      </c>
      <c r="L77" s="60">
        <v>30</v>
      </c>
      <c r="M77" s="60">
        <v>1.25</v>
      </c>
      <c r="N77" s="60">
        <v>0.2</v>
      </c>
      <c r="O77" s="60" t="s">
        <v>962</v>
      </c>
      <c r="Q77" s="72"/>
    </row>
    <row r="78" spans="1:17" ht="16.350000000000001" customHeight="1" x14ac:dyDescent="0.45">
      <c r="A78" s="71">
        <v>11</v>
      </c>
      <c r="B78" s="71">
        <v>7</v>
      </c>
      <c r="C78" s="60">
        <v>77</v>
      </c>
      <c r="D78" s="60" t="s">
        <v>17</v>
      </c>
      <c r="E78" s="60" t="s">
        <v>1004</v>
      </c>
      <c r="F78" s="60" t="s">
        <v>2</v>
      </c>
      <c r="G78" s="60">
        <v>100</v>
      </c>
      <c r="H78" s="60">
        <v>100</v>
      </c>
      <c r="I78" s="60">
        <v>30</v>
      </c>
    </row>
    <row r="79" spans="1:17" ht="16.350000000000001" customHeight="1" x14ac:dyDescent="0.45">
      <c r="A79" s="71">
        <v>11</v>
      </c>
      <c r="B79" s="71">
        <v>8</v>
      </c>
      <c r="C79" s="60">
        <v>78</v>
      </c>
      <c r="D79" s="60" t="s">
        <v>54</v>
      </c>
      <c r="E79" s="60" t="s">
        <v>1005</v>
      </c>
      <c r="F79" s="60">
        <v>100</v>
      </c>
      <c r="G79" s="60">
        <v>100</v>
      </c>
      <c r="H79" s="60">
        <v>60</v>
      </c>
      <c r="I79" s="60">
        <v>0</v>
      </c>
      <c r="J79" s="60">
        <v>5</v>
      </c>
    </row>
    <row r="80" spans="1:17" ht="16.350000000000001" customHeight="1" x14ac:dyDescent="0.45">
      <c r="A80" s="71">
        <v>11</v>
      </c>
      <c r="B80" s="71">
        <v>9</v>
      </c>
      <c r="C80" s="60">
        <v>79</v>
      </c>
      <c r="D80" s="60" t="s">
        <v>279</v>
      </c>
      <c r="E80" s="60" t="s">
        <v>1006</v>
      </c>
      <c r="F80" s="60" t="s">
        <v>203</v>
      </c>
      <c r="G80" s="60">
        <v>100</v>
      </c>
      <c r="H80" s="60">
        <v>100</v>
      </c>
      <c r="I80" s="60">
        <v>0</v>
      </c>
      <c r="J80" s="60" t="s">
        <v>1097</v>
      </c>
      <c r="K80" s="60">
        <v>0</v>
      </c>
      <c r="L80" s="60" t="s">
        <v>136</v>
      </c>
      <c r="M80" s="60" t="s">
        <v>136</v>
      </c>
    </row>
    <row r="81" spans="1:17" ht="16.350000000000001" customHeight="1" x14ac:dyDescent="0.45">
      <c r="A81" s="71">
        <v>11</v>
      </c>
      <c r="B81" s="71">
        <v>10</v>
      </c>
      <c r="C81" s="60">
        <v>80</v>
      </c>
      <c r="D81" s="60" t="s">
        <v>279</v>
      </c>
      <c r="E81" s="60" t="s">
        <v>1007</v>
      </c>
      <c r="F81" s="60" t="s">
        <v>203</v>
      </c>
      <c r="G81" s="60">
        <v>100</v>
      </c>
      <c r="H81" s="60">
        <v>100</v>
      </c>
      <c r="I81" s="60">
        <v>0</v>
      </c>
      <c r="J81" s="60" t="s">
        <v>1098</v>
      </c>
      <c r="K81" s="60">
        <v>0</v>
      </c>
      <c r="L81" s="60" t="s">
        <v>136</v>
      </c>
      <c r="M81" s="60" t="s">
        <v>136</v>
      </c>
    </row>
    <row r="82" spans="1:17" ht="16.350000000000001" customHeight="1" x14ac:dyDescent="0.45">
      <c r="A82" s="71">
        <v>11</v>
      </c>
      <c r="B82" s="71">
        <v>4</v>
      </c>
      <c r="C82" s="60">
        <v>81</v>
      </c>
      <c r="D82" s="60" t="s">
        <v>206</v>
      </c>
      <c r="E82" s="60">
        <v>100</v>
      </c>
      <c r="F82" s="60">
        <v>100</v>
      </c>
      <c r="G82" s="60" t="s">
        <v>1095</v>
      </c>
      <c r="H82" s="60" t="s">
        <v>1096</v>
      </c>
      <c r="I82" s="60" t="s">
        <v>929</v>
      </c>
      <c r="J82" s="60">
        <v>0</v>
      </c>
      <c r="K82" s="60">
        <v>1</v>
      </c>
      <c r="L82" s="60">
        <v>300</v>
      </c>
      <c r="M82" s="60" t="s">
        <v>1099</v>
      </c>
      <c r="N82" s="60">
        <v>0.2</v>
      </c>
      <c r="O82" s="72"/>
      <c r="P82" s="60" t="s">
        <v>875</v>
      </c>
    </row>
    <row r="83" spans="1:17" ht="16.350000000000001" customHeight="1" x14ac:dyDescent="0.45">
      <c r="A83" s="71">
        <v>11</v>
      </c>
      <c r="B83" s="71">
        <v>5</v>
      </c>
      <c r="C83" s="60">
        <v>82</v>
      </c>
      <c r="D83" s="60" t="s">
        <v>205</v>
      </c>
      <c r="E83" s="60" t="s">
        <v>919</v>
      </c>
      <c r="F83" s="60" t="s">
        <v>967</v>
      </c>
      <c r="G83" s="60">
        <v>2.2000000000000002</v>
      </c>
      <c r="H83" s="60">
        <v>0</v>
      </c>
      <c r="I83" s="60">
        <v>1</v>
      </c>
      <c r="J83" s="60">
        <v>64</v>
      </c>
      <c r="K83" s="60">
        <v>1.25</v>
      </c>
      <c r="L83" s="60">
        <v>0.2</v>
      </c>
      <c r="N83" s="60">
        <v>400</v>
      </c>
    </row>
    <row r="84" spans="1:17" ht="16.350000000000001" customHeight="1" x14ac:dyDescent="0.45">
      <c r="A84" s="71">
        <v>11</v>
      </c>
      <c r="B84" s="71">
        <v>6</v>
      </c>
      <c r="C84" s="60">
        <v>83</v>
      </c>
      <c r="D84" s="60" t="s">
        <v>10</v>
      </c>
      <c r="E84" s="60">
        <v>100</v>
      </c>
      <c r="F84" s="60">
        <v>100</v>
      </c>
      <c r="G84" s="60">
        <v>2.2000000000000002</v>
      </c>
      <c r="H84" s="60">
        <v>15</v>
      </c>
      <c r="I84" s="60">
        <v>0</v>
      </c>
      <c r="J84" s="60">
        <v>30</v>
      </c>
      <c r="K84" s="60" t="s">
        <v>38</v>
      </c>
      <c r="L84" s="60">
        <v>30</v>
      </c>
      <c r="M84" s="60">
        <v>1.25</v>
      </c>
      <c r="N84" s="60">
        <v>0.2</v>
      </c>
      <c r="O84" s="60" t="s">
        <v>962</v>
      </c>
      <c r="Q84" s="72"/>
    </row>
    <row r="85" spans="1:17" ht="16.350000000000001" customHeight="1" x14ac:dyDescent="0.45">
      <c r="A85" s="71">
        <v>11</v>
      </c>
      <c r="B85" s="71">
        <v>7</v>
      </c>
      <c r="C85" s="60">
        <v>84</v>
      </c>
      <c r="D85" s="60" t="s">
        <v>17</v>
      </c>
      <c r="E85" s="60" t="s">
        <v>1008</v>
      </c>
      <c r="F85" s="60" t="s">
        <v>2</v>
      </c>
      <c r="G85" s="60">
        <v>100</v>
      </c>
      <c r="H85" s="60">
        <v>100</v>
      </c>
      <c r="I85" s="60">
        <v>30</v>
      </c>
    </row>
    <row r="86" spans="1:17" ht="16.350000000000001" customHeight="1" x14ac:dyDescent="0.45">
      <c r="A86" s="71">
        <v>11</v>
      </c>
      <c r="B86" s="71">
        <v>8</v>
      </c>
      <c r="C86" s="60">
        <v>85</v>
      </c>
      <c r="D86" s="60" t="s">
        <v>54</v>
      </c>
      <c r="E86" s="60" t="s">
        <v>1009</v>
      </c>
      <c r="F86" s="60">
        <v>100</v>
      </c>
      <c r="G86" s="60">
        <v>100</v>
      </c>
      <c r="H86" s="60">
        <v>60</v>
      </c>
      <c r="I86" s="60">
        <v>0</v>
      </c>
      <c r="J86" s="60">
        <v>5</v>
      </c>
    </row>
    <row r="87" spans="1:17" ht="16.350000000000001" customHeight="1" x14ac:dyDescent="0.45">
      <c r="A87" s="71">
        <v>11</v>
      </c>
      <c r="B87" s="71">
        <v>9</v>
      </c>
      <c r="C87" s="60">
        <v>86</v>
      </c>
      <c r="D87" s="60" t="s">
        <v>279</v>
      </c>
      <c r="E87" s="60" t="s">
        <v>1010</v>
      </c>
      <c r="F87" s="60" t="s">
        <v>203</v>
      </c>
      <c r="G87" s="60">
        <v>100</v>
      </c>
      <c r="H87" s="60">
        <v>100</v>
      </c>
      <c r="I87" s="60">
        <v>0</v>
      </c>
      <c r="J87" s="60" t="s">
        <v>1097</v>
      </c>
      <c r="K87" s="60">
        <v>0</v>
      </c>
      <c r="L87" s="60" t="s">
        <v>136</v>
      </c>
      <c r="M87" s="60" t="s">
        <v>136</v>
      </c>
    </row>
    <row r="88" spans="1:17" ht="16.350000000000001" customHeight="1" x14ac:dyDescent="0.45">
      <c r="A88" s="71">
        <v>11</v>
      </c>
      <c r="B88" s="71">
        <v>10</v>
      </c>
      <c r="C88" s="60">
        <v>87</v>
      </c>
      <c r="D88" s="60" t="s">
        <v>279</v>
      </c>
      <c r="E88" s="60" t="s">
        <v>1011</v>
      </c>
      <c r="F88" s="60" t="s">
        <v>203</v>
      </c>
      <c r="G88" s="60">
        <v>100</v>
      </c>
      <c r="H88" s="60">
        <v>100</v>
      </c>
      <c r="I88" s="60">
        <v>0</v>
      </c>
      <c r="J88" s="60" t="s">
        <v>1098</v>
      </c>
      <c r="K88" s="60">
        <v>0</v>
      </c>
      <c r="L88" s="60" t="s">
        <v>136</v>
      </c>
      <c r="M88" s="60" t="s">
        <v>136</v>
      </c>
    </row>
    <row r="89" spans="1:17" ht="16.350000000000001" customHeight="1" x14ac:dyDescent="0.45">
      <c r="A89" s="71">
        <v>11</v>
      </c>
      <c r="B89" s="71">
        <v>4</v>
      </c>
      <c r="C89" s="60">
        <v>88</v>
      </c>
      <c r="D89" s="60" t="s">
        <v>206</v>
      </c>
      <c r="E89" s="60">
        <v>100</v>
      </c>
      <c r="F89" s="60">
        <v>100</v>
      </c>
      <c r="G89" s="60" t="s">
        <v>1095</v>
      </c>
      <c r="H89" s="60" t="s">
        <v>1096</v>
      </c>
      <c r="I89" s="60" t="s">
        <v>930</v>
      </c>
      <c r="J89" s="60">
        <v>0</v>
      </c>
      <c r="K89" s="60">
        <v>1</v>
      </c>
      <c r="L89" s="60">
        <v>300</v>
      </c>
      <c r="M89" s="60" t="s">
        <v>1099</v>
      </c>
      <c r="N89" s="60">
        <v>0.2</v>
      </c>
      <c r="P89" s="60" t="s">
        <v>875</v>
      </c>
    </row>
    <row r="90" spans="1:17" ht="16.350000000000001" customHeight="1" x14ac:dyDescent="0.45">
      <c r="A90" s="71">
        <v>11</v>
      </c>
      <c r="B90" s="71">
        <v>5</v>
      </c>
      <c r="C90" s="60">
        <v>89</v>
      </c>
      <c r="D90" s="60" t="s">
        <v>205</v>
      </c>
      <c r="E90" s="60" t="s">
        <v>919</v>
      </c>
      <c r="F90" s="60" t="s">
        <v>967</v>
      </c>
      <c r="G90" s="60">
        <v>2.4000000000000004</v>
      </c>
      <c r="H90" s="60">
        <v>0</v>
      </c>
      <c r="I90" s="60">
        <v>1</v>
      </c>
      <c r="J90" s="60">
        <v>64</v>
      </c>
      <c r="K90" s="60">
        <v>1.25</v>
      </c>
      <c r="L90" s="60">
        <v>0.2</v>
      </c>
      <c r="N90" s="60">
        <v>400</v>
      </c>
    </row>
    <row r="91" spans="1:17" ht="16.350000000000001" customHeight="1" x14ac:dyDescent="0.45">
      <c r="A91" s="71">
        <v>11</v>
      </c>
      <c r="B91" s="71">
        <v>6</v>
      </c>
      <c r="C91" s="60">
        <v>90</v>
      </c>
      <c r="D91" s="60" t="s">
        <v>10</v>
      </c>
      <c r="E91" s="60">
        <v>100</v>
      </c>
      <c r="F91" s="60">
        <v>100</v>
      </c>
      <c r="G91" s="60">
        <v>2.4000000000000004</v>
      </c>
      <c r="H91" s="60">
        <v>15</v>
      </c>
      <c r="I91" s="60">
        <v>0</v>
      </c>
      <c r="J91" s="60">
        <v>30</v>
      </c>
      <c r="K91" s="60" t="s">
        <v>38</v>
      </c>
      <c r="L91" s="60">
        <v>30</v>
      </c>
      <c r="M91" s="60">
        <v>1.25</v>
      </c>
      <c r="N91" s="60">
        <v>0.2</v>
      </c>
      <c r="O91" s="60" t="s">
        <v>962</v>
      </c>
      <c r="Q91" s="72"/>
    </row>
    <row r="92" spans="1:17" ht="16.350000000000001" customHeight="1" x14ac:dyDescent="0.45">
      <c r="A92" s="71">
        <v>11</v>
      </c>
      <c r="B92" s="71">
        <v>7</v>
      </c>
      <c r="C92" s="60">
        <v>91</v>
      </c>
      <c r="D92" s="60" t="s">
        <v>17</v>
      </c>
      <c r="E92" s="60" t="s">
        <v>1012</v>
      </c>
      <c r="F92" s="60" t="s">
        <v>2</v>
      </c>
      <c r="G92" s="60">
        <v>100</v>
      </c>
      <c r="H92" s="60">
        <v>100</v>
      </c>
      <c r="I92" s="60">
        <v>30</v>
      </c>
    </row>
    <row r="93" spans="1:17" ht="16.350000000000001" customHeight="1" x14ac:dyDescent="0.45">
      <c r="A93" s="71">
        <v>11</v>
      </c>
      <c r="B93" s="71">
        <v>8</v>
      </c>
      <c r="C93" s="60">
        <v>92</v>
      </c>
      <c r="D93" s="60" t="s">
        <v>54</v>
      </c>
      <c r="E93" s="60" t="s">
        <v>1013</v>
      </c>
      <c r="F93" s="60">
        <v>100</v>
      </c>
      <c r="G93" s="60">
        <v>100</v>
      </c>
      <c r="H93" s="60">
        <v>60</v>
      </c>
      <c r="I93" s="60">
        <v>0</v>
      </c>
      <c r="J93" s="60">
        <v>5</v>
      </c>
      <c r="O93" s="72"/>
    </row>
    <row r="94" spans="1:17" ht="16.350000000000001" customHeight="1" x14ac:dyDescent="0.45">
      <c r="A94" s="71">
        <v>11</v>
      </c>
      <c r="B94" s="71">
        <v>9</v>
      </c>
      <c r="C94" s="60">
        <v>93</v>
      </c>
      <c r="D94" s="60" t="s">
        <v>279</v>
      </c>
      <c r="E94" s="60" t="s">
        <v>1014</v>
      </c>
      <c r="F94" s="60" t="s">
        <v>203</v>
      </c>
      <c r="G94" s="60">
        <v>100</v>
      </c>
      <c r="H94" s="60">
        <v>100</v>
      </c>
      <c r="I94" s="60">
        <v>0</v>
      </c>
      <c r="J94" s="60" t="s">
        <v>1097</v>
      </c>
      <c r="K94" s="60">
        <v>0</v>
      </c>
      <c r="L94" s="60" t="s">
        <v>136</v>
      </c>
      <c r="M94" s="60" t="s">
        <v>136</v>
      </c>
    </row>
    <row r="95" spans="1:17" ht="16.350000000000001" customHeight="1" x14ac:dyDescent="0.45">
      <c r="A95" s="71">
        <v>11</v>
      </c>
      <c r="B95" s="71">
        <v>10</v>
      </c>
      <c r="C95" s="60">
        <v>94</v>
      </c>
      <c r="D95" s="60" t="s">
        <v>279</v>
      </c>
      <c r="E95" s="60" t="s">
        <v>1015</v>
      </c>
      <c r="F95" s="60" t="s">
        <v>203</v>
      </c>
      <c r="G95" s="60">
        <v>100</v>
      </c>
      <c r="H95" s="60">
        <v>100</v>
      </c>
      <c r="I95" s="60">
        <v>0</v>
      </c>
      <c r="J95" s="60" t="s">
        <v>1098</v>
      </c>
      <c r="K95" s="60">
        <v>0</v>
      </c>
      <c r="L95" s="60" t="s">
        <v>136</v>
      </c>
      <c r="M95" s="60" t="s">
        <v>136</v>
      </c>
    </row>
    <row r="96" spans="1:17" ht="16.350000000000001" customHeight="1" x14ac:dyDescent="0.45">
      <c r="A96" s="71">
        <v>11</v>
      </c>
      <c r="B96" s="71">
        <v>4</v>
      </c>
      <c r="C96" s="60">
        <v>95</v>
      </c>
      <c r="D96" s="60" t="s">
        <v>206</v>
      </c>
      <c r="E96" s="60">
        <v>100</v>
      </c>
      <c r="F96" s="60">
        <v>100</v>
      </c>
      <c r="G96" s="60" t="s">
        <v>1095</v>
      </c>
      <c r="H96" s="60" t="s">
        <v>1096</v>
      </c>
      <c r="I96" s="60" t="s">
        <v>931</v>
      </c>
      <c r="J96" s="60">
        <v>0</v>
      </c>
      <c r="K96" s="60">
        <v>1</v>
      </c>
      <c r="L96" s="60">
        <v>300</v>
      </c>
      <c r="M96" s="60" t="s">
        <v>1099</v>
      </c>
      <c r="N96" s="60">
        <v>0.2</v>
      </c>
      <c r="P96" s="60" t="s">
        <v>875</v>
      </c>
    </row>
    <row r="97" spans="1:17" ht="16.350000000000001" customHeight="1" x14ac:dyDescent="0.45">
      <c r="A97" s="71">
        <v>11</v>
      </c>
      <c r="B97" s="71">
        <v>5</v>
      </c>
      <c r="C97" s="60">
        <v>96</v>
      </c>
      <c r="D97" s="60" t="s">
        <v>205</v>
      </c>
      <c r="E97" s="60" t="s">
        <v>919</v>
      </c>
      <c r="F97" s="60" t="s">
        <v>967</v>
      </c>
      <c r="G97" s="60">
        <v>2.6</v>
      </c>
      <c r="H97" s="60">
        <v>0</v>
      </c>
      <c r="I97" s="60">
        <v>1</v>
      </c>
      <c r="J97" s="60">
        <v>64</v>
      </c>
      <c r="K97" s="60">
        <v>1.25</v>
      </c>
      <c r="L97" s="60">
        <v>0.2</v>
      </c>
      <c r="N97" s="60">
        <v>400</v>
      </c>
    </row>
    <row r="98" spans="1:17" ht="16.350000000000001" customHeight="1" x14ac:dyDescent="0.45">
      <c r="A98" s="71">
        <v>11</v>
      </c>
      <c r="B98" s="71">
        <v>6</v>
      </c>
      <c r="C98" s="60">
        <v>97</v>
      </c>
      <c r="D98" s="60" t="s">
        <v>10</v>
      </c>
      <c r="E98" s="60">
        <v>100</v>
      </c>
      <c r="F98" s="60">
        <v>100</v>
      </c>
      <c r="G98" s="60">
        <v>2.6</v>
      </c>
      <c r="H98" s="60">
        <v>15</v>
      </c>
      <c r="I98" s="60">
        <v>0</v>
      </c>
      <c r="J98" s="60">
        <v>30</v>
      </c>
      <c r="K98" s="60" t="s">
        <v>38</v>
      </c>
      <c r="L98" s="60">
        <v>30</v>
      </c>
      <c r="M98" s="60">
        <v>1.25</v>
      </c>
      <c r="N98" s="60">
        <v>0.2</v>
      </c>
      <c r="O98" s="60" t="s">
        <v>962</v>
      </c>
      <c r="Q98" s="72"/>
    </row>
    <row r="99" spans="1:17" ht="16.350000000000001" customHeight="1" x14ac:dyDescent="0.45">
      <c r="A99" s="71">
        <v>11</v>
      </c>
      <c r="B99" s="71">
        <v>7</v>
      </c>
      <c r="C99" s="60">
        <v>98</v>
      </c>
      <c r="D99" s="60" t="s">
        <v>17</v>
      </c>
      <c r="E99" s="60" t="s">
        <v>1016</v>
      </c>
      <c r="F99" s="60" t="s">
        <v>2</v>
      </c>
      <c r="G99" s="60">
        <v>100</v>
      </c>
      <c r="H99" s="60">
        <v>100</v>
      </c>
      <c r="I99" s="60">
        <v>30</v>
      </c>
    </row>
    <row r="100" spans="1:17" ht="16.350000000000001" customHeight="1" x14ac:dyDescent="0.45">
      <c r="A100" s="71">
        <v>11</v>
      </c>
      <c r="B100" s="71">
        <v>8</v>
      </c>
      <c r="C100" s="60">
        <v>99</v>
      </c>
      <c r="D100" s="60" t="s">
        <v>54</v>
      </c>
      <c r="E100" s="60" t="s">
        <v>1017</v>
      </c>
      <c r="F100" s="60">
        <v>100</v>
      </c>
      <c r="G100" s="60">
        <v>100</v>
      </c>
      <c r="H100" s="60">
        <v>60</v>
      </c>
      <c r="I100" s="60">
        <v>0</v>
      </c>
      <c r="J100" s="60">
        <v>5</v>
      </c>
    </row>
    <row r="101" spans="1:17" ht="16.350000000000001" customHeight="1" x14ac:dyDescent="0.45">
      <c r="A101" s="71">
        <v>11</v>
      </c>
      <c r="B101" s="71">
        <v>9</v>
      </c>
      <c r="C101" s="60">
        <v>100</v>
      </c>
      <c r="D101" s="60" t="s">
        <v>279</v>
      </c>
      <c r="E101" s="60" t="s">
        <v>1018</v>
      </c>
      <c r="F101" s="60" t="s">
        <v>203</v>
      </c>
      <c r="G101" s="60">
        <v>100</v>
      </c>
      <c r="H101" s="60">
        <v>100</v>
      </c>
      <c r="I101" s="60">
        <v>0</v>
      </c>
      <c r="J101" s="60" t="s">
        <v>1097</v>
      </c>
      <c r="K101" s="60">
        <v>0</v>
      </c>
      <c r="L101" s="60" t="s">
        <v>136</v>
      </c>
      <c r="M101" s="60" t="s">
        <v>136</v>
      </c>
    </row>
    <row r="102" spans="1:17" ht="16.350000000000001" customHeight="1" x14ac:dyDescent="0.45">
      <c r="A102" s="71">
        <v>11</v>
      </c>
      <c r="B102" s="71">
        <v>10</v>
      </c>
      <c r="C102" s="60">
        <v>101</v>
      </c>
      <c r="D102" s="60" t="s">
        <v>279</v>
      </c>
      <c r="E102" s="60" t="s">
        <v>1019</v>
      </c>
      <c r="F102" s="60" t="s">
        <v>203</v>
      </c>
      <c r="G102" s="60">
        <v>100</v>
      </c>
      <c r="H102" s="60">
        <v>100</v>
      </c>
      <c r="I102" s="60">
        <v>0</v>
      </c>
      <c r="J102" s="60" t="s">
        <v>1098</v>
      </c>
      <c r="K102" s="60">
        <v>0</v>
      </c>
      <c r="L102" s="60" t="s">
        <v>136</v>
      </c>
      <c r="M102" s="60" t="s">
        <v>136</v>
      </c>
    </row>
    <row r="103" spans="1:17" ht="16.350000000000001" customHeight="1" x14ac:dyDescent="0.45">
      <c r="A103" s="71">
        <v>11</v>
      </c>
      <c r="B103" s="71">
        <v>4</v>
      </c>
      <c r="C103" s="60">
        <v>102</v>
      </c>
      <c r="D103" s="60" t="s">
        <v>206</v>
      </c>
      <c r="E103" s="60">
        <v>100</v>
      </c>
      <c r="F103" s="60">
        <v>100</v>
      </c>
      <c r="G103" s="60" t="s">
        <v>1095</v>
      </c>
      <c r="H103" s="60" t="s">
        <v>1096</v>
      </c>
      <c r="I103" s="60" t="s">
        <v>932</v>
      </c>
      <c r="J103" s="60">
        <v>0</v>
      </c>
      <c r="K103" s="60">
        <v>1</v>
      </c>
      <c r="L103" s="60">
        <v>300</v>
      </c>
      <c r="M103" s="60" t="s">
        <v>1099</v>
      </c>
      <c r="N103" s="60">
        <v>0.2</v>
      </c>
      <c r="P103" s="60" t="s">
        <v>875</v>
      </c>
    </row>
    <row r="104" spans="1:17" ht="16.350000000000001" customHeight="1" x14ac:dyDescent="0.45">
      <c r="A104" s="71">
        <v>11</v>
      </c>
      <c r="B104" s="71">
        <v>5</v>
      </c>
      <c r="C104" s="60">
        <v>103</v>
      </c>
      <c r="D104" s="60" t="s">
        <v>205</v>
      </c>
      <c r="E104" s="60" t="s">
        <v>919</v>
      </c>
      <c r="F104" s="60" t="s">
        <v>967</v>
      </c>
      <c r="G104" s="60">
        <v>2.8000000000000003</v>
      </c>
      <c r="H104" s="60">
        <v>0</v>
      </c>
      <c r="I104" s="60">
        <v>1</v>
      </c>
      <c r="J104" s="60">
        <v>64</v>
      </c>
      <c r="K104" s="60">
        <v>1.25</v>
      </c>
      <c r="L104" s="60">
        <v>0.2</v>
      </c>
      <c r="N104" s="60">
        <v>400</v>
      </c>
      <c r="O104" s="72"/>
    </row>
    <row r="105" spans="1:17" ht="16.350000000000001" customHeight="1" x14ac:dyDescent="0.45">
      <c r="A105" s="71">
        <v>11</v>
      </c>
      <c r="B105" s="71">
        <v>6</v>
      </c>
      <c r="C105" s="60">
        <v>104</v>
      </c>
      <c r="D105" s="60" t="s">
        <v>10</v>
      </c>
      <c r="E105" s="60">
        <v>100</v>
      </c>
      <c r="F105" s="60">
        <v>100</v>
      </c>
      <c r="G105" s="60">
        <v>2.8000000000000003</v>
      </c>
      <c r="H105" s="60">
        <v>15</v>
      </c>
      <c r="I105" s="60">
        <v>0</v>
      </c>
      <c r="J105" s="60">
        <v>30</v>
      </c>
      <c r="K105" s="60" t="s">
        <v>38</v>
      </c>
      <c r="L105" s="60">
        <v>30</v>
      </c>
      <c r="M105" s="60">
        <v>1.25</v>
      </c>
      <c r="N105" s="60">
        <v>0.2</v>
      </c>
      <c r="O105" s="60" t="s">
        <v>962</v>
      </c>
      <c r="Q105" s="72"/>
    </row>
    <row r="106" spans="1:17" ht="16.350000000000001" customHeight="1" x14ac:dyDescent="0.45">
      <c r="A106" s="71">
        <v>11</v>
      </c>
      <c r="B106" s="71">
        <v>7</v>
      </c>
      <c r="C106" s="60">
        <v>105</v>
      </c>
      <c r="D106" s="60" t="s">
        <v>17</v>
      </c>
      <c r="E106" s="60" t="s">
        <v>1020</v>
      </c>
      <c r="F106" s="60" t="s">
        <v>2</v>
      </c>
      <c r="G106" s="60">
        <v>100</v>
      </c>
      <c r="H106" s="60">
        <v>100</v>
      </c>
      <c r="I106" s="60">
        <v>30</v>
      </c>
    </row>
    <row r="107" spans="1:17" ht="16.350000000000001" customHeight="1" x14ac:dyDescent="0.45">
      <c r="A107" s="71">
        <v>11</v>
      </c>
      <c r="B107" s="71">
        <v>8</v>
      </c>
      <c r="C107" s="60">
        <v>106</v>
      </c>
      <c r="D107" s="60" t="s">
        <v>54</v>
      </c>
      <c r="E107" s="60" t="s">
        <v>1021</v>
      </c>
      <c r="F107" s="60">
        <v>100</v>
      </c>
      <c r="G107" s="60">
        <v>100</v>
      </c>
      <c r="H107" s="60">
        <v>60</v>
      </c>
      <c r="I107" s="60">
        <v>0</v>
      </c>
      <c r="J107" s="60">
        <v>5</v>
      </c>
    </row>
    <row r="108" spans="1:17" ht="16.350000000000001" customHeight="1" x14ac:dyDescent="0.45">
      <c r="A108" s="71">
        <v>11</v>
      </c>
      <c r="B108" s="71">
        <v>9</v>
      </c>
      <c r="C108" s="60">
        <v>107</v>
      </c>
      <c r="D108" s="60" t="s">
        <v>279</v>
      </c>
      <c r="E108" s="60" t="s">
        <v>1022</v>
      </c>
      <c r="F108" s="60" t="s">
        <v>203</v>
      </c>
      <c r="G108" s="60">
        <v>100</v>
      </c>
      <c r="H108" s="60">
        <v>100</v>
      </c>
      <c r="I108" s="60">
        <v>0</v>
      </c>
      <c r="J108" s="60" t="s">
        <v>1097</v>
      </c>
      <c r="K108" s="60">
        <v>0</v>
      </c>
      <c r="L108" s="60" t="s">
        <v>136</v>
      </c>
      <c r="M108" s="60" t="s">
        <v>136</v>
      </c>
    </row>
    <row r="109" spans="1:17" ht="16.350000000000001" customHeight="1" x14ac:dyDescent="0.45">
      <c r="A109" s="71">
        <v>11</v>
      </c>
      <c r="B109" s="71">
        <v>10</v>
      </c>
      <c r="C109" s="60">
        <v>108</v>
      </c>
      <c r="D109" s="60" t="s">
        <v>279</v>
      </c>
      <c r="E109" s="60" t="s">
        <v>1023</v>
      </c>
      <c r="F109" s="60" t="s">
        <v>203</v>
      </c>
      <c r="G109" s="60">
        <v>100</v>
      </c>
      <c r="H109" s="60">
        <v>100</v>
      </c>
      <c r="I109" s="60">
        <v>0</v>
      </c>
      <c r="J109" s="60" t="s">
        <v>1098</v>
      </c>
      <c r="K109" s="60">
        <v>0</v>
      </c>
      <c r="L109" s="60" t="s">
        <v>136</v>
      </c>
      <c r="M109" s="60" t="s">
        <v>136</v>
      </c>
    </row>
    <row r="110" spans="1:17" ht="16.350000000000001" customHeight="1" x14ac:dyDescent="0.45">
      <c r="A110" s="71">
        <v>11</v>
      </c>
      <c r="B110" s="71">
        <v>4</v>
      </c>
      <c r="C110" s="60">
        <v>109</v>
      </c>
      <c r="D110" s="60" t="s">
        <v>206</v>
      </c>
      <c r="E110" s="60">
        <v>100</v>
      </c>
      <c r="F110" s="60">
        <v>100</v>
      </c>
      <c r="G110" s="60" t="s">
        <v>1095</v>
      </c>
      <c r="H110" s="60" t="s">
        <v>1096</v>
      </c>
      <c r="I110" s="60" t="s">
        <v>933</v>
      </c>
      <c r="J110" s="60">
        <v>0</v>
      </c>
      <c r="K110" s="60">
        <v>1</v>
      </c>
      <c r="L110" s="60">
        <v>300</v>
      </c>
      <c r="M110" s="60" t="s">
        <v>1099</v>
      </c>
      <c r="N110" s="60">
        <v>0.2</v>
      </c>
      <c r="P110" s="60" t="s">
        <v>875</v>
      </c>
    </row>
    <row r="111" spans="1:17" ht="16.350000000000001" customHeight="1" x14ac:dyDescent="0.45">
      <c r="A111" s="71">
        <v>11</v>
      </c>
      <c r="B111" s="71">
        <v>5</v>
      </c>
      <c r="C111" s="60">
        <v>110</v>
      </c>
      <c r="D111" s="60" t="s">
        <v>205</v>
      </c>
      <c r="E111" s="60" t="s">
        <v>919</v>
      </c>
      <c r="F111" s="60" t="s">
        <v>967</v>
      </c>
      <c r="G111" s="60">
        <v>3</v>
      </c>
      <c r="H111" s="60">
        <v>0</v>
      </c>
      <c r="I111" s="60">
        <v>1</v>
      </c>
      <c r="J111" s="60">
        <v>64</v>
      </c>
      <c r="K111" s="60">
        <v>1.25</v>
      </c>
      <c r="L111" s="60">
        <v>0.2</v>
      </c>
      <c r="N111" s="60">
        <v>400</v>
      </c>
    </row>
    <row r="112" spans="1:17" ht="16.350000000000001" customHeight="1" x14ac:dyDescent="0.45">
      <c r="A112" s="71">
        <v>11</v>
      </c>
      <c r="B112" s="71">
        <v>6</v>
      </c>
      <c r="C112" s="60">
        <v>111</v>
      </c>
      <c r="D112" s="60" t="s">
        <v>10</v>
      </c>
      <c r="E112" s="60">
        <v>100</v>
      </c>
      <c r="F112" s="60">
        <v>100</v>
      </c>
      <c r="G112" s="60">
        <v>3</v>
      </c>
      <c r="H112" s="60">
        <v>15</v>
      </c>
      <c r="I112" s="60">
        <v>0</v>
      </c>
      <c r="J112" s="60">
        <v>30</v>
      </c>
      <c r="K112" s="60" t="s">
        <v>38</v>
      </c>
      <c r="L112" s="60">
        <v>30</v>
      </c>
      <c r="M112" s="60">
        <v>1.25</v>
      </c>
      <c r="N112" s="60">
        <v>0.2</v>
      </c>
      <c r="O112" s="60" t="s">
        <v>962</v>
      </c>
      <c r="Q112" s="72"/>
    </row>
    <row r="113" spans="1:17" ht="16.350000000000001" customHeight="1" x14ac:dyDescent="0.45">
      <c r="A113" s="71">
        <v>11</v>
      </c>
      <c r="B113" s="71">
        <v>7</v>
      </c>
      <c r="C113" s="60">
        <v>112</v>
      </c>
      <c r="D113" s="60" t="s">
        <v>17</v>
      </c>
      <c r="E113" s="60" t="s">
        <v>1024</v>
      </c>
      <c r="F113" s="60" t="s">
        <v>2</v>
      </c>
      <c r="G113" s="60">
        <v>100</v>
      </c>
      <c r="H113" s="60">
        <v>100</v>
      </c>
      <c r="I113" s="60">
        <v>30</v>
      </c>
    </row>
    <row r="114" spans="1:17" ht="16.350000000000001" customHeight="1" x14ac:dyDescent="0.45">
      <c r="A114" s="71">
        <v>11</v>
      </c>
      <c r="B114" s="71">
        <v>8</v>
      </c>
      <c r="C114" s="60">
        <v>113</v>
      </c>
      <c r="D114" s="60" t="s">
        <v>54</v>
      </c>
      <c r="E114" s="60" t="s">
        <v>1025</v>
      </c>
      <c r="F114" s="60">
        <v>100</v>
      </c>
      <c r="G114" s="60">
        <v>100</v>
      </c>
      <c r="H114" s="60">
        <v>60</v>
      </c>
      <c r="I114" s="60">
        <v>0</v>
      </c>
      <c r="J114" s="60">
        <v>5</v>
      </c>
    </row>
    <row r="115" spans="1:17" ht="16.350000000000001" customHeight="1" x14ac:dyDescent="0.45">
      <c r="A115" s="71">
        <v>11</v>
      </c>
      <c r="B115" s="71">
        <v>9</v>
      </c>
      <c r="C115" s="60">
        <v>114</v>
      </c>
      <c r="D115" s="60" t="s">
        <v>279</v>
      </c>
      <c r="E115" s="60" t="s">
        <v>1026</v>
      </c>
      <c r="F115" s="60" t="s">
        <v>203</v>
      </c>
      <c r="G115" s="60">
        <v>100</v>
      </c>
      <c r="H115" s="60">
        <v>100</v>
      </c>
      <c r="I115" s="60">
        <v>0</v>
      </c>
      <c r="J115" s="60" t="s">
        <v>1097</v>
      </c>
      <c r="K115" s="60">
        <v>0</v>
      </c>
      <c r="L115" s="60" t="s">
        <v>136</v>
      </c>
      <c r="M115" s="60" t="s">
        <v>136</v>
      </c>
      <c r="O115" s="72"/>
    </row>
    <row r="116" spans="1:17" ht="16.350000000000001" customHeight="1" x14ac:dyDescent="0.45">
      <c r="A116" s="71">
        <v>11</v>
      </c>
      <c r="B116" s="71">
        <v>10</v>
      </c>
      <c r="C116" s="60">
        <v>115</v>
      </c>
      <c r="D116" s="60" t="s">
        <v>279</v>
      </c>
      <c r="E116" s="60" t="s">
        <v>1027</v>
      </c>
      <c r="F116" s="60" t="s">
        <v>203</v>
      </c>
      <c r="G116" s="60">
        <v>100</v>
      </c>
      <c r="H116" s="60">
        <v>100</v>
      </c>
      <c r="I116" s="60">
        <v>0</v>
      </c>
      <c r="J116" s="60" t="s">
        <v>1098</v>
      </c>
      <c r="K116" s="60">
        <v>0</v>
      </c>
      <c r="L116" s="60" t="s">
        <v>136</v>
      </c>
      <c r="M116" s="60" t="s">
        <v>136</v>
      </c>
    </row>
    <row r="117" spans="1:17" ht="16.350000000000001" customHeight="1" x14ac:dyDescent="0.45">
      <c r="A117" s="71">
        <v>11</v>
      </c>
      <c r="B117" s="71">
        <v>4</v>
      </c>
      <c r="C117" s="60">
        <v>116</v>
      </c>
      <c r="D117" s="60" t="s">
        <v>206</v>
      </c>
      <c r="E117" s="60">
        <v>100</v>
      </c>
      <c r="F117" s="60">
        <v>100</v>
      </c>
      <c r="G117" s="60" t="s">
        <v>1095</v>
      </c>
      <c r="H117" s="60" t="s">
        <v>1096</v>
      </c>
      <c r="I117" s="60" t="s">
        <v>934</v>
      </c>
      <c r="J117" s="60">
        <v>0</v>
      </c>
      <c r="K117" s="60">
        <v>1</v>
      </c>
      <c r="L117" s="60">
        <v>300</v>
      </c>
      <c r="M117" s="60" t="s">
        <v>1099</v>
      </c>
      <c r="N117" s="60">
        <v>0.2</v>
      </c>
      <c r="P117" s="60" t="s">
        <v>875</v>
      </c>
    </row>
    <row r="118" spans="1:17" ht="16.350000000000001" customHeight="1" x14ac:dyDescent="0.45">
      <c r="A118" s="71">
        <v>11</v>
      </c>
      <c r="B118" s="71">
        <v>5</v>
      </c>
      <c r="C118" s="60">
        <v>117</v>
      </c>
      <c r="D118" s="60" t="s">
        <v>205</v>
      </c>
      <c r="E118" s="60" t="s">
        <v>919</v>
      </c>
      <c r="F118" s="60" t="s">
        <v>967</v>
      </c>
      <c r="G118" s="60">
        <v>3.2</v>
      </c>
      <c r="H118" s="60">
        <v>0</v>
      </c>
      <c r="I118" s="60">
        <v>1</v>
      </c>
      <c r="J118" s="60">
        <v>64</v>
      </c>
      <c r="K118" s="60">
        <v>1.25</v>
      </c>
      <c r="L118" s="60">
        <v>0.2</v>
      </c>
      <c r="N118" s="60">
        <v>400</v>
      </c>
    </row>
    <row r="119" spans="1:17" ht="16.350000000000001" customHeight="1" x14ac:dyDescent="0.45">
      <c r="A119" s="71">
        <v>11</v>
      </c>
      <c r="B119" s="71">
        <v>6</v>
      </c>
      <c r="C119" s="60">
        <v>118</v>
      </c>
      <c r="D119" s="60" t="s">
        <v>10</v>
      </c>
      <c r="E119" s="60">
        <v>100</v>
      </c>
      <c r="F119" s="60">
        <v>100</v>
      </c>
      <c r="G119" s="60">
        <v>3.2</v>
      </c>
      <c r="H119" s="60">
        <v>15</v>
      </c>
      <c r="I119" s="60">
        <v>0</v>
      </c>
      <c r="J119" s="60">
        <v>30</v>
      </c>
      <c r="K119" s="60" t="s">
        <v>38</v>
      </c>
      <c r="L119" s="60">
        <v>30</v>
      </c>
      <c r="M119" s="60">
        <v>1.25</v>
      </c>
      <c r="N119" s="60">
        <v>0.2</v>
      </c>
      <c r="O119" s="60" t="s">
        <v>962</v>
      </c>
      <c r="Q119" s="72"/>
    </row>
    <row r="120" spans="1:17" ht="16.350000000000001" customHeight="1" x14ac:dyDescent="0.45">
      <c r="A120" s="71">
        <v>11</v>
      </c>
      <c r="B120" s="71">
        <v>7</v>
      </c>
      <c r="C120" s="60">
        <v>119</v>
      </c>
      <c r="D120" s="60" t="s">
        <v>17</v>
      </c>
      <c r="E120" s="60" t="s">
        <v>1028</v>
      </c>
      <c r="F120" s="60" t="s">
        <v>2</v>
      </c>
      <c r="G120" s="60">
        <v>100</v>
      </c>
      <c r="H120" s="60">
        <v>100</v>
      </c>
      <c r="I120" s="60">
        <v>30</v>
      </c>
    </row>
    <row r="121" spans="1:17" ht="16.350000000000001" customHeight="1" x14ac:dyDescent="0.45">
      <c r="A121" s="71">
        <v>11</v>
      </c>
      <c r="B121" s="71">
        <v>8</v>
      </c>
      <c r="C121" s="60">
        <v>120</v>
      </c>
      <c r="D121" s="60" t="s">
        <v>54</v>
      </c>
      <c r="E121" s="60" t="s">
        <v>1029</v>
      </c>
      <c r="F121" s="60">
        <v>100</v>
      </c>
      <c r="G121" s="60">
        <v>100</v>
      </c>
      <c r="H121" s="60">
        <v>60</v>
      </c>
      <c r="I121" s="60">
        <v>0</v>
      </c>
      <c r="J121" s="60">
        <v>5</v>
      </c>
    </row>
    <row r="122" spans="1:17" ht="16.350000000000001" customHeight="1" x14ac:dyDescent="0.45">
      <c r="A122" s="71">
        <v>11</v>
      </c>
      <c r="B122" s="71">
        <v>9</v>
      </c>
      <c r="C122" s="60">
        <v>121</v>
      </c>
      <c r="D122" s="60" t="s">
        <v>279</v>
      </c>
      <c r="E122" s="60" t="s">
        <v>1030</v>
      </c>
      <c r="F122" s="60" t="s">
        <v>203</v>
      </c>
      <c r="G122" s="60">
        <v>100</v>
      </c>
      <c r="H122" s="60">
        <v>100</v>
      </c>
      <c r="I122" s="60">
        <v>0</v>
      </c>
      <c r="J122" s="60" t="s">
        <v>1097</v>
      </c>
      <c r="K122" s="60">
        <v>0</v>
      </c>
      <c r="L122" s="60" t="s">
        <v>136</v>
      </c>
      <c r="M122" s="60" t="s">
        <v>136</v>
      </c>
    </row>
    <row r="123" spans="1:17" ht="16.350000000000001" customHeight="1" x14ac:dyDescent="0.45">
      <c r="A123" s="71">
        <v>11</v>
      </c>
      <c r="B123" s="71">
        <v>10</v>
      </c>
      <c r="C123" s="60">
        <v>122</v>
      </c>
      <c r="D123" s="60" t="s">
        <v>279</v>
      </c>
      <c r="E123" s="60" t="s">
        <v>1031</v>
      </c>
      <c r="F123" s="60" t="s">
        <v>203</v>
      </c>
      <c r="G123" s="60">
        <v>100</v>
      </c>
      <c r="H123" s="60">
        <v>100</v>
      </c>
      <c r="I123" s="60">
        <v>0</v>
      </c>
      <c r="J123" s="60" t="s">
        <v>1098</v>
      </c>
      <c r="K123" s="60">
        <v>0</v>
      </c>
      <c r="L123" s="60" t="s">
        <v>136</v>
      </c>
      <c r="M123" s="60" t="s">
        <v>136</v>
      </c>
    </row>
    <row r="124" spans="1:17" ht="16.350000000000001" customHeight="1" x14ac:dyDescent="0.45">
      <c r="A124" s="71">
        <v>11</v>
      </c>
      <c r="B124" s="71">
        <v>4</v>
      </c>
      <c r="C124" s="60">
        <v>123</v>
      </c>
      <c r="D124" s="60" t="s">
        <v>206</v>
      </c>
      <c r="E124" s="60">
        <v>100</v>
      </c>
      <c r="F124" s="60">
        <v>100</v>
      </c>
      <c r="G124" s="60" t="s">
        <v>1095</v>
      </c>
      <c r="H124" s="60" t="s">
        <v>1096</v>
      </c>
      <c r="I124" s="60" t="s">
        <v>935</v>
      </c>
      <c r="J124" s="60">
        <v>0</v>
      </c>
      <c r="K124" s="60">
        <v>1</v>
      </c>
      <c r="L124" s="60">
        <v>300</v>
      </c>
      <c r="M124" s="60" t="s">
        <v>1099</v>
      </c>
      <c r="N124" s="60">
        <v>0.2</v>
      </c>
      <c r="P124" s="60" t="s">
        <v>875</v>
      </c>
    </row>
    <row r="125" spans="1:17" ht="16.350000000000001" customHeight="1" x14ac:dyDescent="0.45">
      <c r="A125" s="71">
        <v>11</v>
      </c>
      <c r="B125" s="71">
        <v>5</v>
      </c>
      <c r="C125" s="60">
        <v>124</v>
      </c>
      <c r="D125" s="60" t="s">
        <v>205</v>
      </c>
      <c r="E125" s="60" t="s">
        <v>919</v>
      </c>
      <c r="F125" s="60" t="s">
        <v>967</v>
      </c>
      <c r="G125" s="60">
        <v>3.4000000000000004</v>
      </c>
      <c r="H125" s="60">
        <v>0</v>
      </c>
      <c r="I125" s="60">
        <v>1</v>
      </c>
      <c r="J125" s="60">
        <v>64</v>
      </c>
      <c r="K125" s="60">
        <v>1.25</v>
      </c>
      <c r="L125" s="60">
        <v>0.2</v>
      </c>
      <c r="N125" s="60">
        <v>400</v>
      </c>
    </row>
    <row r="126" spans="1:17" ht="16.350000000000001" customHeight="1" x14ac:dyDescent="0.45">
      <c r="A126" s="71">
        <v>11</v>
      </c>
      <c r="B126" s="71">
        <v>6</v>
      </c>
      <c r="C126" s="60">
        <v>125</v>
      </c>
      <c r="D126" s="60" t="s">
        <v>10</v>
      </c>
      <c r="E126" s="60">
        <v>100</v>
      </c>
      <c r="F126" s="60">
        <v>100</v>
      </c>
      <c r="G126" s="60">
        <v>3.4000000000000004</v>
      </c>
      <c r="H126" s="60">
        <v>15</v>
      </c>
      <c r="I126" s="60">
        <v>0</v>
      </c>
      <c r="J126" s="60">
        <v>30</v>
      </c>
      <c r="K126" s="60" t="s">
        <v>38</v>
      </c>
      <c r="L126" s="60">
        <v>30</v>
      </c>
      <c r="M126" s="60">
        <v>1.25</v>
      </c>
      <c r="N126" s="60">
        <v>0.2</v>
      </c>
      <c r="O126" s="72" t="s">
        <v>962</v>
      </c>
      <c r="Q126" s="72"/>
    </row>
    <row r="127" spans="1:17" ht="16.350000000000001" customHeight="1" x14ac:dyDescent="0.45">
      <c r="A127" s="71">
        <v>11</v>
      </c>
      <c r="B127" s="71">
        <v>7</v>
      </c>
      <c r="C127" s="60">
        <v>126</v>
      </c>
      <c r="D127" s="60" t="s">
        <v>17</v>
      </c>
      <c r="E127" s="60" t="s">
        <v>1032</v>
      </c>
      <c r="F127" s="60" t="s">
        <v>2</v>
      </c>
      <c r="G127" s="60">
        <v>100</v>
      </c>
      <c r="H127" s="60">
        <v>100</v>
      </c>
      <c r="I127" s="60">
        <v>30</v>
      </c>
    </row>
    <row r="128" spans="1:17" ht="16.350000000000001" customHeight="1" x14ac:dyDescent="0.45">
      <c r="A128" s="71">
        <v>11</v>
      </c>
      <c r="B128" s="71">
        <v>8</v>
      </c>
      <c r="C128" s="60">
        <v>127</v>
      </c>
      <c r="D128" s="60" t="s">
        <v>54</v>
      </c>
      <c r="E128" s="60" t="s">
        <v>1033</v>
      </c>
      <c r="F128" s="60">
        <v>100</v>
      </c>
      <c r="G128" s="60">
        <v>100</v>
      </c>
      <c r="H128" s="60">
        <v>60</v>
      </c>
      <c r="I128" s="60">
        <v>0</v>
      </c>
      <c r="J128" s="60">
        <v>5</v>
      </c>
    </row>
    <row r="129" spans="1:17" ht="16.350000000000001" customHeight="1" x14ac:dyDescent="0.45">
      <c r="A129" s="71">
        <v>11</v>
      </c>
      <c r="B129" s="71">
        <v>9</v>
      </c>
      <c r="C129" s="60">
        <v>128</v>
      </c>
      <c r="D129" s="60" t="s">
        <v>279</v>
      </c>
      <c r="E129" s="60" t="s">
        <v>1034</v>
      </c>
      <c r="F129" s="60" t="s">
        <v>203</v>
      </c>
      <c r="G129" s="60">
        <v>100</v>
      </c>
      <c r="H129" s="60">
        <v>100</v>
      </c>
      <c r="I129" s="60">
        <v>0</v>
      </c>
      <c r="J129" s="60" t="s">
        <v>1097</v>
      </c>
      <c r="K129" s="60">
        <v>0</v>
      </c>
      <c r="L129" s="60" t="s">
        <v>136</v>
      </c>
      <c r="M129" s="60" t="s">
        <v>136</v>
      </c>
    </row>
    <row r="130" spans="1:17" ht="16.350000000000001" customHeight="1" x14ac:dyDescent="0.45">
      <c r="A130" s="71">
        <v>11</v>
      </c>
      <c r="B130" s="71">
        <v>10</v>
      </c>
      <c r="C130" s="60">
        <v>129</v>
      </c>
      <c r="D130" s="60" t="s">
        <v>279</v>
      </c>
      <c r="E130" s="60" t="s">
        <v>1035</v>
      </c>
      <c r="F130" s="60" t="s">
        <v>203</v>
      </c>
      <c r="G130" s="60">
        <v>100</v>
      </c>
      <c r="H130" s="60">
        <v>100</v>
      </c>
      <c r="I130" s="60">
        <v>0</v>
      </c>
      <c r="J130" s="60" t="s">
        <v>1098</v>
      </c>
      <c r="K130" s="60">
        <v>0</v>
      </c>
      <c r="L130" s="60" t="s">
        <v>136</v>
      </c>
      <c r="M130" s="60" t="s">
        <v>136</v>
      </c>
    </row>
    <row r="131" spans="1:17" ht="16.350000000000001" customHeight="1" x14ac:dyDescent="0.45">
      <c r="A131" s="71">
        <v>11</v>
      </c>
      <c r="B131" s="71">
        <v>4</v>
      </c>
      <c r="C131" s="60">
        <v>130</v>
      </c>
      <c r="D131" s="60" t="s">
        <v>206</v>
      </c>
      <c r="E131" s="60">
        <v>100</v>
      </c>
      <c r="F131" s="60">
        <v>100</v>
      </c>
      <c r="G131" s="60" t="s">
        <v>1095</v>
      </c>
      <c r="H131" s="60" t="s">
        <v>1096</v>
      </c>
      <c r="I131" s="60" t="s">
        <v>936</v>
      </c>
      <c r="J131" s="60">
        <v>0</v>
      </c>
      <c r="K131" s="60">
        <v>1</v>
      </c>
      <c r="L131" s="60">
        <v>300</v>
      </c>
      <c r="M131" s="60" t="s">
        <v>1099</v>
      </c>
      <c r="N131" s="60">
        <v>0.2</v>
      </c>
      <c r="P131" s="60" t="s">
        <v>875</v>
      </c>
    </row>
    <row r="132" spans="1:17" ht="16.350000000000001" customHeight="1" x14ac:dyDescent="0.45">
      <c r="A132" s="71">
        <v>11</v>
      </c>
      <c r="B132" s="71">
        <v>5</v>
      </c>
      <c r="C132" s="60">
        <v>131</v>
      </c>
      <c r="D132" s="60" t="s">
        <v>205</v>
      </c>
      <c r="E132" s="60" t="s">
        <v>919</v>
      </c>
      <c r="F132" s="60" t="s">
        <v>967</v>
      </c>
      <c r="G132" s="60">
        <v>3.6</v>
      </c>
      <c r="H132" s="60">
        <v>0</v>
      </c>
      <c r="I132" s="60">
        <v>1</v>
      </c>
      <c r="J132" s="60">
        <v>64</v>
      </c>
      <c r="K132" s="60">
        <v>1.25</v>
      </c>
      <c r="L132" s="60">
        <v>0.2</v>
      </c>
      <c r="N132" s="60">
        <v>400</v>
      </c>
    </row>
    <row r="133" spans="1:17" ht="16.350000000000001" customHeight="1" x14ac:dyDescent="0.45">
      <c r="A133" s="71">
        <v>11</v>
      </c>
      <c r="B133" s="71">
        <v>6</v>
      </c>
      <c r="C133" s="60">
        <v>132</v>
      </c>
      <c r="D133" s="60" t="s">
        <v>10</v>
      </c>
      <c r="E133" s="60">
        <v>100</v>
      </c>
      <c r="F133" s="60">
        <v>100</v>
      </c>
      <c r="G133" s="60">
        <v>3.6</v>
      </c>
      <c r="H133" s="60">
        <v>15</v>
      </c>
      <c r="I133" s="60">
        <v>0</v>
      </c>
      <c r="J133" s="60">
        <v>30</v>
      </c>
      <c r="K133" s="60" t="s">
        <v>38</v>
      </c>
      <c r="L133" s="60">
        <v>30</v>
      </c>
      <c r="M133" s="60">
        <v>1.25</v>
      </c>
      <c r="N133" s="60">
        <v>0.2</v>
      </c>
      <c r="O133" s="60" t="s">
        <v>962</v>
      </c>
      <c r="Q133" s="72"/>
    </row>
    <row r="134" spans="1:17" ht="16.350000000000001" customHeight="1" x14ac:dyDescent="0.45">
      <c r="A134" s="71">
        <v>11</v>
      </c>
      <c r="B134" s="71">
        <v>7</v>
      </c>
      <c r="C134" s="60">
        <v>133</v>
      </c>
      <c r="D134" s="60" t="s">
        <v>17</v>
      </c>
      <c r="E134" s="60" t="s">
        <v>1036</v>
      </c>
      <c r="F134" s="60" t="s">
        <v>2</v>
      </c>
      <c r="G134" s="60">
        <v>100</v>
      </c>
      <c r="H134" s="60">
        <v>100</v>
      </c>
      <c r="I134" s="60">
        <v>30</v>
      </c>
    </row>
    <row r="135" spans="1:17" ht="16.350000000000001" customHeight="1" x14ac:dyDescent="0.45">
      <c r="A135" s="71">
        <v>11</v>
      </c>
      <c r="B135" s="71">
        <v>8</v>
      </c>
      <c r="C135" s="60">
        <v>134</v>
      </c>
      <c r="D135" s="60" t="s">
        <v>54</v>
      </c>
      <c r="E135" s="60" t="s">
        <v>1037</v>
      </c>
      <c r="F135" s="60">
        <v>100</v>
      </c>
      <c r="G135" s="60">
        <v>100</v>
      </c>
      <c r="H135" s="60">
        <v>60</v>
      </c>
      <c r="I135" s="60">
        <v>0</v>
      </c>
      <c r="J135" s="60">
        <v>5</v>
      </c>
    </row>
    <row r="136" spans="1:17" ht="16.350000000000001" customHeight="1" x14ac:dyDescent="0.45">
      <c r="A136" s="71">
        <v>11</v>
      </c>
      <c r="B136" s="71">
        <v>9</v>
      </c>
      <c r="C136" s="60">
        <v>135</v>
      </c>
      <c r="D136" s="60" t="s">
        <v>279</v>
      </c>
      <c r="E136" s="60" t="s">
        <v>1038</v>
      </c>
      <c r="F136" s="60" t="s">
        <v>203</v>
      </c>
      <c r="G136" s="60">
        <v>100</v>
      </c>
      <c r="H136" s="60">
        <v>100</v>
      </c>
      <c r="I136" s="60">
        <v>0</v>
      </c>
      <c r="J136" s="60" t="s">
        <v>1097</v>
      </c>
      <c r="K136" s="60">
        <v>0</v>
      </c>
      <c r="L136" s="60" t="s">
        <v>136</v>
      </c>
      <c r="M136" s="60" t="s">
        <v>136</v>
      </c>
    </row>
    <row r="137" spans="1:17" ht="16.350000000000001" customHeight="1" x14ac:dyDescent="0.45">
      <c r="A137" s="71">
        <v>11</v>
      </c>
      <c r="B137" s="71">
        <v>10</v>
      </c>
      <c r="C137" s="60">
        <v>136</v>
      </c>
      <c r="D137" s="60" t="s">
        <v>279</v>
      </c>
      <c r="E137" s="60" t="s">
        <v>1039</v>
      </c>
      <c r="F137" s="60" t="s">
        <v>203</v>
      </c>
      <c r="G137" s="60">
        <v>100</v>
      </c>
      <c r="H137" s="60">
        <v>100</v>
      </c>
      <c r="I137" s="60">
        <v>0</v>
      </c>
      <c r="J137" s="60" t="s">
        <v>1098</v>
      </c>
      <c r="K137" s="60">
        <v>0</v>
      </c>
      <c r="L137" s="60" t="s">
        <v>136</v>
      </c>
      <c r="M137" s="60" t="s">
        <v>136</v>
      </c>
      <c r="O137" s="72"/>
    </row>
    <row r="138" spans="1:17" ht="16.350000000000001" customHeight="1" x14ac:dyDescent="0.45">
      <c r="A138" s="71">
        <v>11</v>
      </c>
      <c r="B138" s="71">
        <v>4</v>
      </c>
      <c r="C138" s="60">
        <v>137</v>
      </c>
      <c r="D138" s="60" t="s">
        <v>206</v>
      </c>
      <c r="E138" s="60">
        <v>100</v>
      </c>
      <c r="F138" s="60">
        <v>100</v>
      </c>
      <c r="G138" s="60" t="s">
        <v>1095</v>
      </c>
      <c r="H138" s="60" t="s">
        <v>1096</v>
      </c>
      <c r="I138" s="60" t="s">
        <v>937</v>
      </c>
      <c r="J138" s="60">
        <v>0</v>
      </c>
      <c r="K138" s="60">
        <v>1</v>
      </c>
      <c r="L138" s="60">
        <v>300</v>
      </c>
      <c r="M138" s="60" t="s">
        <v>1099</v>
      </c>
      <c r="N138" s="60">
        <v>0.2</v>
      </c>
      <c r="P138" s="60" t="s">
        <v>875</v>
      </c>
    </row>
    <row r="139" spans="1:17" ht="16.350000000000001" customHeight="1" x14ac:dyDescent="0.45">
      <c r="A139" s="71">
        <v>11</v>
      </c>
      <c r="B139" s="71">
        <v>5</v>
      </c>
      <c r="C139" s="60">
        <v>138</v>
      </c>
      <c r="D139" s="60" t="s">
        <v>205</v>
      </c>
      <c r="E139" s="60" t="s">
        <v>919</v>
      </c>
      <c r="F139" s="60" t="s">
        <v>967</v>
      </c>
      <c r="G139" s="60">
        <v>3.8000000000000003</v>
      </c>
      <c r="H139" s="60">
        <v>0</v>
      </c>
      <c r="I139" s="60">
        <v>1</v>
      </c>
      <c r="J139" s="60">
        <v>64</v>
      </c>
      <c r="K139" s="60">
        <v>1.25</v>
      </c>
      <c r="L139" s="60">
        <v>0.2</v>
      </c>
      <c r="N139" s="60">
        <v>400</v>
      </c>
    </row>
    <row r="140" spans="1:17" ht="16.350000000000001" customHeight="1" x14ac:dyDescent="0.45">
      <c r="A140" s="71">
        <v>11</v>
      </c>
      <c r="B140" s="71">
        <v>6</v>
      </c>
      <c r="C140" s="60">
        <v>139</v>
      </c>
      <c r="D140" s="60" t="s">
        <v>10</v>
      </c>
      <c r="E140" s="60">
        <v>100</v>
      </c>
      <c r="F140" s="60">
        <v>100</v>
      </c>
      <c r="G140" s="60">
        <v>3.8000000000000003</v>
      </c>
      <c r="H140" s="60">
        <v>15</v>
      </c>
      <c r="I140" s="60">
        <v>0</v>
      </c>
      <c r="J140" s="60">
        <v>30</v>
      </c>
      <c r="K140" s="60" t="s">
        <v>38</v>
      </c>
      <c r="L140" s="60">
        <v>30</v>
      </c>
      <c r="M140" s="60">
        <v>1.25</v>
      </c>
      <c r="N140" s="60">
        <v>0.2</v>
      </c>
      <c r="O140" s="60" t="s">
        <v>962</v>
      </c>
      <c r="Q140" s="72"/>
    </row>
    <row r="141" spans="1:17" ht="16.350000000000001" customHeight="1" x14ac:dyDescent="0.45">
      <c r="A141" s="71">
        <v>11</v>
      </c>
      <c r="B141" s="71">
        <v>7</v>
      </c>
      <c r="C141" s="60">
        <v>140</v>
      </c>
      <c r="D141" s="60" t="s">
        <v>17</v>
      </c>
      <c r="E141" s="60" t="s">
        <v>1040</v>
      </c>
      <c r="F141" s="60" t="s">
        <v>2</v>
      </c>
      <c r="G141" s="60">
        <v>100</v>
      </c>
      <c r="H141" s="60">
        <v>100</v>
      </c>
      <c r="I141" s="60">
        <v>30</v>
      </c>
    </row>
    <row r="142" spans="1:17" ht="16.350000000000001" customHeight="1" x14ac:dyDescent="0.45">
      <c r="A142" s="71">
        <v>11</v>
      </c>
      <c r="B142" s="71">
        <v>8</v>
      </c>
      <c r="C142" s="60">
        <v>141</v>
      </c>
      <c r="D142" s="60" t="s">
        <v>54</v>
      </c>
      <c r="E142" s="60" t="s">
        <v>1041</v>
      </c>
      <c r="F142" s="60">
        <v>100</v>
      </c>
      <c r="G142" s="60">
        <v>100</v>
      </c>
      <c r="H142" s="60">
        <v>60</v>
      </c>
      <c r="I142" s="60">
        <v>0</v>
      </c>
      <c r="J142" s="60">
        <v>5</v>
      </c>
    </row>
    <row r="143" spans="1:17" ht="16.350000000000001" customHeight="1" x14ac:dyDescent="0.45">
      <c r="A143" s="71">
        <v>11</v>
      </c>
      <c r="B143" s="71">
        <v>9</v>
      </c>
      <c r="C143" s="60">
        <v>142</v>
      </c>
      <c r="D143" s="60" t="s">
        <v>279</v>
      </c>
      <c r="E143" s="60" t="s">
        <v>1042</v>
      </c>
      <c r="F143" s="60" t="s">
        <v>203</v>
      </c>
      <c r="G143" s="60">
        <v>100</v>
      </c>
      <c r="H143" s="60">
        <v>100</v>
      </c>
      <c r="I143" s="60">
        <v>0</v>
      </c>
      <c r="J143" s="60" t="s">
        <v>1097</v>
      </c>
      <c r="K143" s="60">
        <v>0</v>
      </c>
      <c r="L143" s="60" t="s">
        <v>136</v>
      </c>
      <c r="M143" s="60" t="s">
        <v>136</v>
      </c>
    </row>
    <row r="144" spans="1:17" ht="16.350000000000001" customHeight="1" x14ac:dyDescent="0.45">
      <c r="A144" s="71">
        <v>11</v>
      </c>
      <c r="B144" s="71">
        <v>10</v>
      </c>
      <c r="C144" s="60">
        <v>143</v>
      </c>
      <c r="D144" s="60" t="s">
        <v>279</v>
      </c>
      <c r="E144" s="60" t="s">
        <v>1043</v>
      </c>
      <c r="F144" s="60" t="s">
        <v>203</v>
      </c>
      <c r="G144" s="60">
        <v>100</v>
      </c>
      <c r="H144" s="60">
        <v>100</v>
      </c>
      <c r="I144" s="60">
        <v>0</v>
      </c>
      <c r="J144" s="60" t="s">
        <v>1098</v>
      </c>
      <c r="K144" s="60">
        <v>0</v>
      </c>
      <c r="L144" s="60" t="s">
        <v>136</v>
      </c>
      <c r="M144" s="60" t="s">
        <v>136</v>
      </c>
    </row>
    <row r="145" spans="1:16" ht="16.350000000000001" customHeight="1" x14ac:dyDescent="0.45">
      <c r="A145" s="71">
        <v>12</v>
      </c>
      <c r="B145" s="71">
        <v>144</v>
      </c>
      <c r="C145" s="60">
        <v>144</v>
      </c>
      <c r="D145" s="60" t="s">
        <v>206</v>
      </c>
      <c r="E145" s="60">
        <v>100</v>
      </c>
      <c r="F145" s="60">
        <v>100</v>
      </c>
      <c r="G145" s="60" t="s">
        <v>1095</v>
      </c>
      <c r="H145" s="60" t="s">
        <v>1096</v>
      </c>
      <c r="I145" s="60" t="s">
        <v>916</v>
      </c>
      <c r="J145" s="60">
        <v>20</v>
      </c>
      <c r="K145" s="60">
        <v>750</v>
      </c>
      <c r="L145" s="60">
        <v>219000</v>
      </c>
      <c r="M145" s="60" t="s">
        <v>874</v>
      </c>
      <c r="N145" s="60">
        <v>0.2</v>
      </c>
      <c r="P145" s="60" t="s">
        <v>875</v>
      </c>
    </row>
    <row r="146" spans="1:16" ht="16.350000000000001" customHeight="1" x14ac:dyDescent="0.45">
      <c r="A146" s="71">
        <v>13</v>
      </c>
      <c r="B146" s="71">
        <v>145</v>
      </c>
      <c r="C146" s="60">
        <v>145</v>
      </c>
      <c r="D146" s="60" t="s">
        <v>279</v>
      </c>
      <c r="E146" s="60" t="s">
        <v>1045</v>
      </c>
      <c r="F146" s="60" t="s">
        <v>203</v>
      </c>
      <c r="G146" s="60">
        <v>100</v>
      </c>
      <c r="H146" s="60">
        <v>100</v>
      </c>
      <c r="I146" s="60">
        <v>0</v>
      </c>
      <c r="J146" s="60" t="s">
        <v>1097</v>
      </c>
      <c r="K146" s="60">
        <v>0</v>
      </c>
      <c r="L146" s="60" t="s">
        <v>136</v>
      </c>
      <c r="M146" s="60" t="s">
        <v>136</v>
      </c>
    </row>
    <row r="147" spans="1:16" ht="16.350000000000001" customHeight="1" x14ac:dyDescent="0.45">
      <c r="A147" s="71">
        <v>14</v>
      </c>
      <c r="B147" s="71">
        <v>146</v>
      </c>
      <c r="C147" s="60">
        <v>146</v>
      </c>
      <c r="D147" s="60" t="s">
        <v>1</v>
      </c>
      <c r="E147" s="60" t="s">
        <v>18</v>
      </c>
      <c r="F147" s="60" t="s">
        <v>117</v>
      </c>
      <c r="G147" s="60" t="s">
        <v>117</v>
      </c>
      <c r="H147" s="60" t="s">
        <v>117</v>
      </c>
      <c r="I147" s="60" t="s">
        <v>117</v>
      </c>
      <c r="J147" s="60" t="s">
        <v>117</v>
      </c>
      <c r="K147" s="60" t="s">
        <v>880</v>
      </c>
      <c r="L147" s="60" t="s">
        <v>23</v>
      </c>
    </row>
    <row r="148" spans="1:16" ht="16.350000000000001" customHeight="1" x14ac:dyDescent="0.45">
      <c r="O148" s="72"/>
    </row>
    <row r="159" spans="1:16" ht="16.350000000000001" customHeight="1" x14ac:dyDescent="0.45">
      <c r="O159" s="72"/>
    </row>
    <row r="170" spans="15:15" ht="16.350000000000001" customHeight="1" x14ac:dyDescent="0.45">
      <c r="O170" s="72"/>
    </row>
    <row r="181" spans="15:15" ht="16.350000000000001" customHeight="1" x14ac:dyDescent="0.45">
      <c r="O181" s="72"/>
    </row>
    <row r="192" spans="15:15" ht="16.350000000000001" customHeight="1" x14ac:dyDescent="0.45">
      <c r="O192" s="72"/>
    </row>
    <row r="203" spans="15:15" ht="16.350000000000001" customHeight="1" x14ac:dyDescent="0.45">
      <c r="O203" s="72"/>
    </row>
    <row r="214" spans="15:15" ht="16.350000000000001" customHeight="1" x14ac:dyDescent="0.45">
      <c r="O214" s="72"/>
    </row>
    <row r="225" spans="15:15" ht="16.350000000000001" customHeight="1" x14ac:dyDescent="0.45">
      <c r="O225" s="72"/>
    </row>
    <row r="236" spans="15:15" ht="16.350000000000001" customHeight="1" x14ac:dyDescent="0.45">
      <c r="O236" s="72"/>
    </row>
    <row r="247" spans="15:15" ht="16.350000000000001" customHeight="1" x14ac:dyDescent="0.45">
      <c r="O247" s="72"/>
    </row>
    <row r="258" spans="15:15" ht="16.350000000000001" customHeight="1" x14ac:dyDescent="0.45">
      <c r="O258" s="72"/>
    </row>
    <row r="269" spans="15:15" ht="16.350000000000001" customHeight="1" x14ac:dyDescent="0.45">
      <c r="O269" s="72"/>
    </row>
    <row r="280" spans="15:15" ht="16.350000000000001" customHeight="1" x14ac:dyDescent="0.45">
      <c r="O280" s="72"/>
    </row>
    <row r="291" spans="15:15" ht="16.350000000000001" customHeight="1" x14ac:dyDescent="0.45">
      <c r="O291" s="72"/>
    </row>
    <row r="302" spans="15:15" ht="16.350000000000001" customHeight="1" x14ac:dyDescent="0.45">
      <c r="O302" s="72"/>
    </row>
    <row r="313" spans="15:15" ht="16.350000000000001" customHeight="1" x14ac:dyDescent="0.45">
      <c r="O313" s="72"/>
    </row>
    <row r="324" spans="15:15" ht="16.350000000000001" customHeight="1" x14ac:dyDescent="0.45">
      <c r="O324" s="72"/>
    </row>
    <row r="335" spans="15:15" ht="16.350000000000001" customHeight="1" x14ac:dyDescent="0.45">
      <c r="O335" s="72"/>
    </row>
    <row r="346" spans="15:15" ht="16.350000000000001" customHeight="1" x14ac:dyDescent="0.45">
      <c r="O346" s="72"/>
    </row>
    <row r="357" spans="15:15" ht="16.350000000000001" customHeight="1" x14ac:dyDescent="0.45">
      <c r="O357" s="72"/>
    </row>
    <row r="368" spans="15:15" ht="16.350000000000001" customHeight="1" x14ac:dyDescent="0.45">
      <c r="O368" s="72"/>
    </row>
    <row r="379" spans="15:15" ht="16.350000000000001" customHeight="1" x14ac:dyDescent="0.45">
      <c r="O379" s="72"/>
    </row>
    <row r="390" spans="15:15" ht="16.350000000000001" customHeight="1" x14ac:dyDescent="0.45">
      <c r="O390" s="72"/>
    </row>
    <row r="401" spans="15:15" ht="16.350000000000001" customHeight="1" x14ac:dyDescent="0.45">
      <c r="O401" s="72"/>
    </row>
    <row r="412" spans="15:15" ht="16.350000000000001" customHeight="1" x14ac:dyDescent="0.45">
      <c r="O412" s="72"/>
    </row>
    <row r="423" spans="15:15" ht="16.350000000000001" customHeight="1" x14ac:dyDescent="0.45">
      <c r="O423" s="72"/>
    </row>
    <row r="434" spans="15:15" ht="16.350000000000001" customHeight="1" x14ac:dyDescent="0.45">
      <c r="O434" s="72"/>
    </row>
    <row r="445" spans="15:15" ht="16.350000000000001" customHeight="1" x14ac:dyDescent="0.45">
      <c r="O445" s="72"/>
    </row>
    <row r="456" spans="15:15" ht="16.350000000000001" customHeight="1" x14ac:dyDescent="0.45">
      <c r="O456" s="72"/>
    </row>
    <row r="467" spans="15:15" ht="16.350000000000001" customHeight="1" x14ac:dyDescent="0.45">
      <c r="O467" s="72"/>
    </row>
    <row r="478" spans="15:15" ht="16.350000000000001" customHeight="1" x14ac:dyDescent="0.45">
      <c r="O478" s="72"/>
    </row>
    <row r="489" spans="15:15" ht="16.350000000000001" customHeight="1" x14ac:dyDescent="0.45">
      <c r="O489" s="72"/>
    </row>
    <row r="500" spans="15:15" ht="16.350000000000001" customHeight="1" x14ac:dyDescent="0.45">
      <c r="O500" s="72"/>
    </row>
    <row r="511" spans="15:15" ht="16.350000000000001" customHeight="1" x14ac:dyDescent="0.45">
      <c r="O511" s="72"/>
    </row>
    <row r="522" spans="15:15" ht="16.350000000000001" customHeight="1" x14ac:dyDescent="0.45">
      <c r="O522" s="72"/>
    </row>
    <row r="533" spans="15:15" ht="16.350000000000001" customHeight="1" x14ac:dyDescent="0.45">
      <c r="O533" s="72"/>
    </row>
    <row r="544" spans="15:15" ht="16.350000000000001" customHeight="1" x14ac:dyDescent="0.45">
      <c r="O544" s="72"/>
    </row>
    <row r="555" spans="15:15" ht="16.350000000000001" customHeight="1" x14ac:dyDescent="0.45">
      <c r="O555" s="72"/>
    </row>
    <row r="566" spans="15:15" ht="16.350000000000001" customHeight="1" x14ac:dyDescent="0.45">
      <c r="O566" s="72"/>
    </row>
    <row r="577" spans="15:15" ht="16.350000000000001" customHeight="1" x14ac:dyDescent="0.45">
      <c r="O577" s="72"/>
    </row>
    <row r="588" spans="15:15" ht="16.350000000000001" customHeight="1" x14ac:dyDescent="0.45">
      <c r="O588" s="72"/>
    </row>
    <row r="599" spans="15:15" ht="16.350000000000001" customHeight="1" x14ac:dyDescent="0.45">
      <c r="O599" s="72"/>
    </row>
    <row r="610" spans="15:15" ht="16.350000000000001" customHeight="1" x14ac:dyDescent="0.45">
      <c r="O610" s="72"/>
    </row>
    <row r="621" spans="15:15" ht="16.350000000000001" customHeight="1" x14ac:dyDescent="0.45">
      <c r="O621" s="72"/>
    </row>
    <row r="632" spans="15:15" ht="16.350000000000001" customHeight="1" x14ac:dyDescent="0.45">
      <c r="O632" s="72"/>
    </row>
    <row r="643" spans="15:15" ht="16.350000000000001" customHeight="1" x14ac:dyDescent="0.45">
      <c r="O643" s="72"/>
    </row>
    <row r="654" spans="15:15" ht="16.350000000000001" customHeight="1" x14ac:dyDescent="0.45">
      <c r="O654" s="72"/>
    </row>
    <row r="665" spans="15:15" ht="16.350000000000001" customHeight="1" x14ac:dyDescent="0.45">
      <c r="O665" s="72"/>
    </row>
    <row r="676" spans="15:15" ht="16.350000000000001" customHeight="1" x14ac:dyDescent="0.45">
      <c r="O676" s="72"/>
    </row>
    <row r="687" spans="15:15" ht="16.350000000000001" customHeight="1" x14ac:dyDescent="0.45">
      <c r="O687" s="72"/>
    </row>
    <row r="698" spans="15:15" ht="16.350000000000001" customHeight="1" x14ac:dyDescent="0.45">
      <c r="O698" s="72"/>
    </row>
    <row r="709" spans="15:15" ht="16.350000000000001" customHeight="1" x14ac:dyDescent="0.45">
      <c r="O709" s="72"/>
    </row>
    <row r="720" spans="15:15" ht="16.350000000000001" customHeight="1" x14ac:dyDescent="0.45">
      <c r="O720" s="72"/>
    </row>
    <row r="731" spans="15:15" ht="16.350000000000001" customHeight="1" x14ac:dyDescent="0.45">
      <c r="O731" s="72"/>
    </row>
    <row r="742" spans="15:15" ht="16.350000000000001" customHeight="1" x14ac:dyDescent="0.45">
      <c r="O742" s="72"/>
    </row>
    <row r="753" spans="15:15" ht="16.350000000000001" customHeight="1" x14ac:dyDescent="0.45">
      <c r="O753" s="72"/>
    </row>
    <row r="764" spans="15:15" ht="16.350000000000001" customHeight="1" x14ac:dyDescent="0.45">
      <c r="O764" s="72"/>
    </row>
    <row r="775" spans="15:15" ht="16.350000000000001" customHeight="1" x14ac:dyDescent="0.45">
      <c r="O775" s="72"/>
    </row>
    <row r="786" spans="15:15" ht="16.350000000000001" customHeight="1" x14ac:dyDescent="0.45">
      <c r="O786" s="72"/>
    </row>
    <row r="797" spans="15:15" ht="16.350000000000001" customHeight="1" x14ac:dyDescent="0.45">
      <c r="O797" s="72"/>
    </row>
    <row r="808" spans="15:15" ht="16.350000000000001" customHeight="1" x14ac:dyDescent="0.45">
      <c r="O808" s="72"/>
    </row>
    <row r="819" spans="15:15" ht="16.350000000000001" customHeight="1" x14ac:dyDescent="0.45">
      <c r="O819" s="72"/>
    </row>
    <row r="830" spans="15:15" ht="16.350000000000001" customHeight="1" x14ac:dyDescent="0.45">
      <c r="O830" s="72"/>
    </row>
    <row r="841" spans="15:15" ht="16.350000000000001" customHeight="1" x14ac:dyDescent="0.45">
      <c r="O841" s="72"/>
    </row>
    <row r="852" spans="15:15" ht="16.350000000000001" customHeight="1" x14ac:dyDescent="0.45">
      <c r="O852" s="72"/>
    </row>
    <row r="863" spans="15:15" ht="16.350000000000001" customHeight="1" x14ac:dyDescent="0.4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6" sqref="B6:P6"/>
    </sheetView>
  </sheetViews>
  <sheetFormatPr defaultRowHeight="14.25" x14ac:dyDescent="0.45"/>
  <cols>
    <col min="4" max="4" width="20.86328125" customWidth="1"/>
    <col min="7" max="7" width="29.86328125" customWidth="1"/>
  </cols>
  <sheetData>
    <row r="1" spans="1:21" s="29" customFormat="1" ht="30.75" x14ac:dyDescent="0.9">
      <c r="B1" s="76" t="s">
        <v>374</v>
      </c>
      <c r="I1"/>
    </row>
    <row r="2" spans="1:21" x14ac:dyDescent="0.45">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5" customHeight="1" x14ac:dyDescent="0.45">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5" customHeight="1" x14ac:dyDescent="0.45">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5" customHeight="1" x14ac:dyDescent="0.45">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45">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45">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45">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45">
      <c r="B9" s="30" t="s">
        <v>127</v>
      </c>
    </row>
    <row r="10" spans="1:21" x14ac:dyDescent="0.4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4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45">
      <c r="A12" s="34"/>
      <c r="B12" s="30" t="s">
        <v>180</v>
      </c>
      <c r="C12" s="30" t="s">
        <v>12</v>
      </c>
      <c r="D12" s="30" t="s">
        <v>153</v>
      </c>
      <c r="E12" s="30" t="s">
        <v>3</v>
      </c>
      <c r="F12" s="30" t="s">
        <v>4</v>
      </c>
      <c r="G12" s="30" t="s">
        <v>5</v>
      </c>
      <c r="H12" s="30" t="s">
        <v>6</v>
      </c>
      <c r="I12"/>
    </row>
    <row r="13" spans="1:21" s="29" customFormat="1" x14ac:dyDescent="0.45">
      <c r="B13" s="30" t="s">
        <v>181</v>
      </c>
      <c r="C13" s="30" t="s">
        <v>12</v>
      </c>
      <c r="D13" s="30" t="s">
        <v>2</v>
      </c>
      <c r="E13" s="30" t="s">
        <v>7</v>
      </c>
      <c r="F13" s="30" t="s">
        <v>8</v>
      </c>
      <c r="G13" s="30" t="s">
        <v>154</v>
      </c>
      <c r="H13" s="30"/>
      <c r="I13" s="1" t="s">
        <v>645</v>
      </c>
    </row>
    <row r="14" spans="1:21" s="29" customFormat="1" x14ac:dyDescent="0.45">
      <c r="B14" s="30" t="s">
        <v>209</v>
      </c>
      <c r="C14" s="30" t="s">
        <v>12</v>
      </c>
      <c r="D14" s="30" t="s">
        <v>37</v>
      </c>
      <c r="E14" s="30" t="s">
        <v>210</v>
      </c>
      <c r="F14" s="30"/>
      <c r="G14" s="55" t="s">
        <v>211</v>
      </c>
      <c r="H14" s="30"/>
      <c r="I14" s="1"/>
    </row>
    <row r="15" spans="1:21" s="29" customFormat="1" x14ac:dyDescent="0.45">
      <c r="B15" s="30" t="s">
        <v>184</v>
      </c>
      <c r="C15" s="30" t="s">
        <v>12</v>
      </c>
      <c r="D15" s="30" t="s">
        <v>32</v>
      </c>
      <c r="E15" s="30" t="s">
        <v>21</v>
      </c>
      <c r="F15" s="30" t="s">
        <v>13</v>
      </c>
      <c r="I15"/>
      <c r="J15" s="55" t="s">
        <v>81</v>
      </c>
    </row>
    <row r="16" spans="1:21" s="29" customFormat="1" x14ac:dyDescent="0.45">
      <c r="B16" s="30" t="s">
        <v>298</v>
      </c>
      <c r="C16" s="30" t="s">
        <v>12</v>
      </c>
      <c r="D16" s="30" t="s">
        <v>21</v>
      </c>
      <c r="E16" s="30" t="s">
        <v>78</v>
      </c>
      <c r="F16" s="30" t="s">
        <v>79</v>
      </c>
      <c r="G16" s="30" t="s">
        <v>80</v>
      </c>
      <c r="H16" s="30" t="s">
        <v>73</v>
      </c>
      <c r="I16" s="1" t="s">
        <v>74</v>
      </c>
      <c r="J16" s="30" t="s">
        <v>58</v>
      </c>
      <c r="K16" s="30" t="s">
        <v>297</v>
      </c>
      <c r="M16" s="69" t="s">
        <v>296</v>
      </c>
      <c r="N16" s="68" t="s">
        <v>295</v>
      </c>
      <c r="O16" s="51" t="s">
        <v>863</v>
      </c>
      <c r="P16" s="51" t="s">
        <v>864</v>
      </c>
    </row>
    <row r="17" spans="1:30" s="29" customFormat="1" x14ac:dyDescent="0.45">
      <c r="B17" s="30" t="s">
        <v>127</v>
      </c>
      <c r="C17" s="30"/>
      <c r="D17" s="30"/>
      <c r="E17" s="30"/>
      <c r="F17" s="30"/>
      <c r="G17" s="30"/>
      <c r="H17" s="30"/>
      <c r="I17" s="1"/>
    </row>
    <row r="18" spans="1:30" s="29" customFormat="1" x14ac:dyDescent="0.45">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45">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45">
      <c r="B20" s="34" t="s">
        <v>127</v>
      </c>
      <c r="I20" s="129"/>
    </row>
    <row r="21" spans="1:30" s="29" customFormat="1" ht="132.6" customHeight="1" x14ac:dyDescent="0.45">
      <c r="B21" s="51" t="s">
        <v>52</v>
      </c>
      <c r="C21" s="52" t="s">
        <v>175</v>
      </c>
      <c r="D21" s="52" t="s">
        <v>176</v>
      </c>
      <c r="E21" s="52" t="s">
        <v>177</v>
      </c>
      <c r="F21" s="53" t="s">
        <v>53</v>
      </c>
      <c r="G21" s="161" t="s">
        <v>174</v>
      </c>
      <c r="H21" s="161"/>
      <c r="I21" s="161"/>
      <c r="J21" s="161"/>
      <c r="K21" s="161"/>
      <c r="L21" s="161"/>
      <c r="M21" s="161"/>
      <c r="N21" s="161"/>
      <c r="O21" s="161"/>
      <c r="P21" s="51"/>
      <c r="Q21" s="51"/>
      <c r="R21" s="51"/>
      <c r="S21" s="51"/>
    </row>
    <row r="22" spans="1:30" s="29" customFormat="1" x14ac:dyDescent="0.45">
      <c r="B22" s="51"/>
      <c r="C22" s="51"/>
      <c r="D22" s="51"/>
      <c r="E22" s="51"/>
      <c r="F22" s="51"/>
      <c r="G22" s="51"/>
      <c r="H22" s="51"/>
      <c r="I22" s="130"/>
      <c r="J22" s="51"/>
      <c r="K22" s="51"/>
      <c r="L22" s="51"/>
      <c r="M22" s="51"/>
      <c r="N22" s="51"/>
      <c r="O22" s="51"/>
      <c r="P22" s="51"/>
      <c r="Q22" s="51"/>
      <c r="R22" s="51"/>
      <c r="S22" s="51"/>
    </row>
    <row r="23" spans="1:30" s="29" customFormat="1" x14ac:dyDescent="0.45">
      <c r="B23" s="51"/>
      <c r="C23" s="51"/>
      <c r="D23" s="51"/>
      <c r="E23" s="51"/>
      <c r="F23" s="51"/>
      <c r="G23" s="51" t="s">
        <v>15</v>
      </c>
      <c r="H23" s="51" t="s">
        <v>27</v>
      </c>
      <c r="I23"/>
      <c r="J23" s="54" t="s">
        <v>217</v>
      </c>
      <c r="K23" s="51"/>
      <c r="L23" s="51"/>
      <c r="M23" s="51"/>
      <c r="Q23" s="51"/>
      <c r="R23" s="51"/>
      <c r="S23" s="51"/>
    </row>
    <row r="24" spans="1:30" s="29" customFormat="1" x14ac:dyDescent="0.45">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45">
      <c r="B25" s="51"/>
      <c r="C25" s="51"/>
      <c r="D25" s="51"/>
      <c r="E25" s="51"/>
      <c r="F25" s="51"/>
      <c r="G25" s="51" t="s">
        <v>11</v>
      </c>
      <c r="H25" s="51" t="s">
        <v>27</v>
      </c>
      <c r="I25"/>
      <c r="J25" s="51" t="s">
        <v>219</v>
      </c>
      <c r="K25" s="51"/>
      <c r="L25" s="51"/>
      <c r="M25" s="51"/>
      <c r="R25" s="51"/>
      <c r="S25" s="51"/>
      <c r="AC25" s="51"/>
      <c r="AD25" s="51"/>
    </row>
    <row r="26" spans="1:30" s="29" customFormat="1" x14ac:dyDescent="0.45">
      <c r="B26" s="51"/>
      <c r="C26" s="51"/>
      <c r="D26" s="51"/>
      <c r="E26" s="51"/>
      <c r="F26" s="51"/>
      <c r="G26" s="51" t="s">
        <v>167</v>
      </c>
      <c r="H26" s="51" t="s">
        <v>27</v>
      </c>
      <c r="I26"/>
      <c r="J26" s="51" t="s">
        <v>220</v>
      </c>
      <c r="K26" s="51"/>
      <c r="L26" s="51"/>
      <c r="M26" s="51"/>
      <c r="N26" s="51"/>
      <c r="O26" s="51"/>
    </row>
    <row r="27" spans="1:30" s="29" customFormat="1" x14ac:dyDescent="0.45">
      <c r="B27" s="51"/>
      <c r="C27" s="51"/>
      <c r="D27" s="51"/>
      <c r="E27" s="51"/>
      <c r="F27" s="51"/>
      <c r="G27" s="51" t="s">
        <v>166</v>
      </c>
      <c r="H27" s="51" t="s">
        <v>27</v>
      </c>
      <c r="I27"/>
      <c r="J27" s="51" t="s">
        <v>221</v>
      </c>
      <c r="K27" s="51"/>
      <c r="L27" s="51"/>
      <c r="M27" s="51"/>
      <c r="N27" s="51"/>
    </row>
    <row r="28" spans="1:30" s="29" customFormat="1" x14ac:dyDescent="0.45">
      <c r="B28" s="51"/>
      <c r="C28" s="51"/>
      <c r="D28" s="51"/>
      <c r="E28" s="51"/>
      <c r="F28" s="51"/>
      <c r="G28" s="51" t="s">
        <v>165</v>
      </c>
      <c r="H28" s="51" t="s">
        <v>27</v>
      </c>
      <c r="I28"/>
      <c r="J28" s="54" t="s">
        <v>222</v>
      </c>
      <c r="K28" s="51"/>
      <c r="L28" s="51"/>
      <c r="M28" s="51"/>
      <c r="N28" s="51"/>
    </row>
    <row r="29" spans="1:30" s="29" customFormat="1" x14ac:dyDescent="0.45">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5" customHeight="1" x14ac:dyDescent="0.45">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5" customHeight="1" x14ac:dyDescent="0.45">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5" customHeight="1" x14ac:dyDescent="0.45">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5" customHeight="1" x14ac:dyDescent="0.45">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5" customHeight="1" x14ac:dyDescent="0.45">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45">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45">
      <c r="G36" s="51" t="s">
        <v>62</v>
      </c>
      <c r="H36" s="51" t="s">
        <v>63</v>
      </c>
      <c r="I36" s="130" t="s">
        <v>51</v>
      </c>
      <c r="J36" s="51"/>
      <c r="K36" s="51"/>
      <c r="L36" s="51"/>
      <c r="M36" s="54" t="s">
        <v>64</v>
      </c>
      <c r="N36" s="51"/>
      <c r="O36" s="51"/>
      <c r="Q36" s="51"/>
      <c r="R36" s="51"/>
      <c r="S36" s="51"/>
    </row>
    <row r="37" spans="1:21" s="29" customFormat="1" x14ac:dyDescent="0.45">
      <c r="G37" s="51" t="s">
        <v>60</v>
      </c>
      <c r="H37" s="51" t="s">
        <v>63</v>
      </c>
      <c r="I37" s="130" t="s">
        <v>51</v>
      </c>
      <c r="J37" s="51"/>
      <c r="K37" s="51"/>
      <c r="L37" s="51"/>
      <c r="M37" s="54" t="s">
        <v>64</v>
      </c>
      <c r="N37" s="51"/>
      <c r="O37" s="51"/>
      <c r="P37" s="51"/>
      <c r="Q37" s="51"/>
      <c r="R37" s="51"/>
    </row>
    <row r="38" spans="1:21" s="29" customFormat="1" x14ac:dyDescent="0.45">
      <c r="G38" s="51" t="s">
        <v>215</v>
      </c>
      <c r="H38" s="51" t="s">
        <v>27</v>
      </c>
      <c r="I38" s="131" t="s">
        <v>216</v>
      </c>
      <c r="P38" s="51"/>
      <c r="S38" s="51"/>
    </row>
    <row r="39" spans="1:21" s="29" customFormat="1" x14ac:dyDescent="0.45">
      <c r="I39"/>
    </row>
    <row r="40" spans="1:21" s="29" customFormat="1" x14ac:dyDescent="0.45">
      <c r="I40"/>
    </row>
    <row r="41" spans="1:21" s="33" customFormat="1" x14ac:dyDescent="0.45">
      <c r="A41" s="31"/>
      <c r="I41"/>
    </row>
    <row r="42" spans="1:21" s="29" customFormat="1" ht="93.75" customHeight="1" x14ac:dyDescent="0.45">
      <c r="B42" s="63" t="s">
        <v>279</v>
      </c>
      <c r="C42" s="63" t="s">
        <v>12</v>
      </c>
      <c r="D42" s="162" t="s">
        <v>280</v>
      </c>
      <c r="E42" s="162"/>
      <c r="F42" s="162"/>
      <c r="G42" s="162"/>
      <c r="H42" s="162"/>
      <c r="I42" s="162"/>
      <c r="J42" s="162"/>
      <c r="K42" s="162"/>
      <c r="L42" s="162"/>
      <c r="M42" s="162"/>
      <c r="N42" s="162"/>
      <c r="O42" s="162"/>
    </row>
    <row r="43" spans="1:21" s="29" customFormat="1" x14ac:dyDescent="0.45">
      <c r="B43" s="63"/>
      <c r="C43" s="63"/>
      <c r="D43" s="63"/>
      <c r="E43" s="63"/>
      <c r="F43" s="63"/>
      <c r="G43" s="63"/>
      <c r="H43" s="63"/>
      <c r="I43" s="64"/>
      <c r="J43" s="63"/>
      <c r="K43" s="63"/>
      <c r="L43" s="63"/>
      <c r="M43" s="63"/>
      <c r="N43" s="63"/>
      <c r="O43" s="63"/>
    </row>
    <row r="44" spans="1:21" x14ac:dyDescent="0.45">
      <c r="B44" s="64"/>
      <c r="C44" s="64"/>
      <c r="D44" s="64" t="s">
        <v>29</v>
      </c>
      <c r="E44" s="64" t="s">
        <v>30</v>
      </c>
      <c r="F44" s="64" t="s">
        <v>31</v>
      </c>
      <c r="G44" s="64" t="s">
        <v>115</v>
      </c>
      <c r="H44" s="63" t="s">
        <v>134</v>
      </c>
      <c r="I44" s="64" t="s">
        <v>135</v>
      </c>
      <c r="J44" s="64"/>
      <c r="K44" s="64"/>
      <c r="L44" s="64"/>
      <c r="M44" s="64"/>
      <c r="N44" s="64"/>
      <c r="O44" s="64"/>
    </row>
    <row r="45" spans="1:21" ht="15" customHeight="1" x14ac:dyDescent="0.45">
      <c r="B45" s="64"/>
      <c r="C45" s="64"/>
      <c r="D45" s="64" t="s">
        <v>171</v>
      </c>
      <c r="E45" s="65" t="s">
        <v>110</v>
      </c>
      <c r="F45" s="65" t="s">
        <v>111</v>
      </c>
      <c r="G45" s="65" t="s">
        <v>112</v>
      </c>
      <c r="H45" s="63" t="s">
        <v>134</v>
      </c>
      <c r="I45" s="64" t="s">
        <v>135</v>
      </c>
      <c r="J45" s="64"/>
      <c r="K45" s="64"/>
      <c r="L45" s="64"/>
      <c r="M45" s="140" t="s">
        <v>182</v>
      </c>
      <c r="N45" s="29"/>
      <c r="O45" s="33"/>
      <c r="P45" s="66" t="s">
        <v>860</v>
      </c>
      <c r="Q45" s="121"/>
      <c r="R45" s="121"/>
      <c r="S45" s="121"/>
      <c r="T45" s="121"/>
    </row>
    <row r="46" spans="1:21" x14ac:dyDescent="0.45">
      <c r="B46" s="64"/>
      <c r="C46" s="64"/>
      <c r="D46" s="64" t="s">
        <v>25</v>
      </c>
      <c r="E46" s="63" t="s">
        <v>73</v>
      </c>
      <c r="F46" s="63" t="s">
        <v>74</v>
      </c>
      <c r="G46" s="63" t="s">
        <v>287</v>
      </c>
      <c r="H46" s="63" t="s">
        <v>286</v>
      </c>
      <c r="I46" s="64" t="s">
        <v>134</v>
      </c>
      <c r="J46" s="63" t="s">
        <v>135</v>
      </c>
      <c r="K46" s="64"/>
      <c r="L46" s="64"/>
      <c r="M46" s="64"/>
      <c r="N46" s="64"/>
      <c r="O46" s="54" t="s">
        <v>281</v>
      </c>
    </row>
    <row r="47" spans="1:21" ht="14.45" customHeight="1" x14ac:dyDescent="0.45">
      <c r="B47" s="64"/>
      <c r="C47" s="64"/>
      <c r="D47" s="64" t="s">
        <v>203</v>
      </c>
      <c r="E47" s="63" t="s">
        <v>73</v>
      </c>
      <c r="F47" s="63" t="s">
        <v>74</v>
      </c>
      <c r="G47" s="63" t="s">
        <v>288</v>
      </c>
      <c r="H47" s="63" t="s">
        <v>204</v>
      </c>
      <c r="I47" s="64" t="s">
        <v>291</v>
      </c>
      <c r="J47" s="63" t="s">
        <v>134</v>
      </c>
      <c r="K47" s="63" t="s">
        <v>135</v>
      </c>
      <c r="L47" s="64"/>
      <c r="M47" s="64"/>
      <c r="N47" s="64"/>
      <c r="O47" s="54" t="s">
        <v>282</v>
      </c>
      <c r="P47" s="66" t="s">
        <v>859</v>
      </c>
    </row>
    <row r="48" spans="1:21" x14ac:dyDescent="0.45">
      <c r="B48" s="64"/>
      <c r="C48" s="64"/>
      <c r="D48" s="64"/>
      <c r="E48" s="64"/>
      <c r="F48" s="64"/>
      <c r="G48" s="64"/>
      <c r="H48" s="64"/>
      <c r="I48" s="64"/>
      <c r="J48" s="64"/>
      <c r="K48" s="64"/>
      <c r="L48" s="64"/>
      <c r="M48" s="64"/>
      <c r="N48" s="64"/>
      <c r="O48" s="64"/>
    </row>
    <row r="49" spans="2:15" x14ac:dyDescent="0.45">
      <c r="B49" s="64"/>
      <c r="C49" s="64"/>
      <c r="D49" s="64"/>
      <c r="E49" s="64"/>
      <c r="F49" s="64"/>
      <c r="G49" s="64"/>
      <c r="H49" s="64"/>
      <c r="I49" s="64"/>
      <c r="J49" s="64"/>
      <c r="K49" s="64"/>
      <c r="L49" s="64"/>
      <c r="M49" s="64"/>
      <c r="N49" s="64"/>
      <c r="O49" s="64"/>
    </row>
    <row r="50" spans="2:15" x14ac:dyDescent="0.45">
      <c r="B50" s="64"/>
      <c r="C50" s="64"/>
      <c r="D50" s="64"/>
      <c r="E50" s="64"/>
      <c r="F50" s="64"/>
      <c r="G50" s="64"/>
      <c r="H50" s="64"/>
      <c r="I50" s="64"/>
      <c r="J50" s="64"/>
      <c r="K50" s="64"/>
      <c r="L50" s="64"/>
      <c r="M50" s="64"/>
      <c r="N50" s="64"/>
      <c r="O50" s="64"/>
    </row>
    <row r="51" spans="2:15" x14ac:dyDescent="0.45">
      <c r="B51" s="64"/>
      <c r="C51" s="64"/>
      <c r="D51" s="64"/>
      <c r="E51" s="64"/>
      <c r="F51" s="64"/>
      <c r="G51" s="64"/>
      <c r="H51" s="64"/>
      <c r="I51" s="64"/>
      <c r="J51" s="64"/>
      <c r="K51" s="64"/>
      <c r="L51" s="64"/>
      <c r="M51" s="64"/>
      <c r="N51" s="64"/>
      <c r="O51" s="64"/>
    </row>
    <row r="52" spans="2:15" x14ac:dyDescent="0.45">
      <c r="B52" s="64"/>
      <c r="C52" s="64"/>
      <c r="D52" s="64"/>
      <c r="E52" s="64"/>
      <c r="F52" s="64"/>
      <c r="G52" s="64"/>
      <c r="H52" s="64"/>
      <c r="I52" s="64"/>
      <c r="J52" s="64"/>
      <c r="K52" s="64"/>
      <c r="L52" s="64"/>
      <c r="M52" s="64"/>
      <c r="N52" s="64"/>
      <c r="O52" s="64"/>
    </row>
    <row r="54" spans="2:15" x14ac:dyDescent="0.45">
      <c r="B54" s="64"/>
      <c r="C54" s="64"/>
      <c r="D54" s="64"/>
      <c r="E54" s="64"/>
      <c r="F54" s="64"/>
      <c r="G54" s="64"/>
      <c r="H54" s="64"/>
      <c r="I54" s="64"/>
      <c r="J54" s="64"/>
      <c r="K54" s="64"/>
      <c r="L54" s="64"/>
      <c r="M54" s="64"/>
      <c r="N54" s="64"/>
      <c r="O54" s="64"/>
    </row>
    <row r="55" spans="2:15" x14ac:dyDescent="0.4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AM3"/>
  <sheetViews>
    <sheetView zoomScale="75" zoomScaleNormal="85" workbookViewId="0">
      <selection activeCell="O1" sqref="O1:O3"/>
    </sheetView>
  </sheetViews>
  <sheetFormatPr defaultRowHeight="14.25" x14ac:dyDescent="0.45"/>
  <cols>
    <col min="1" max="1" width="11.59765625" customWidth="1"/>
    <col min="2" max="7" width="5.86328125" customWidth="1"/>
    <col min="8" max="8" width="10.86328125" bestFit="1" customWidth="1"/>
    <col min="9" max="9" width="11.1328125" bestFit="1" customWidth="1"/>
    <col min="10" max="10" width="9" customWidth="1"/>
    <col min="11" max="13" width="15.1328125" customWidth="1"/>
    <col min="14" max="14" width="17.86328125" customWidth="1"/>
    <col min="15" max="15" width="16.3984375" style="60" customWidth="1"/>
    <col min="16" max="16" width="36.1328125" customWidth="1"/>
    <col min="25" max="25" width="11.59765625" customWidth="1"/>
    <col min="26" max="31" width="5.86328125" customWidth="1"/>
    <col min="32" max="32" width="10.86328125" bestFit="1" customWidth="1"/>
    <col min="33" max="33" width="11.1328125" bestFit="1" customWidth="1"/>
    <col min="34" max="34" width="9" customWidth="1"/>
    <col min="35" max="37" width="15.1328125" customWidth="1"/>
    <col min="38" max="38" width="17.86328125" customWidth="1"/>
    <col min="39" max="39" width="16.3984375" style="60" customWidth="1"/>
    <col min="40" max="40" width="36.1328125" customWidth="1"/>
  </cols>
  <sheetData>
    <row r="1" spans="1:17" x14ac:dyDescent="0.45">
      <c r="A1" t="s">
        <v>48</v>
      </c>
      <c r="B1" t="s">
        <v>3</v>
      </c>
      <c r="C1" t="s">
        <v>4</v>
      </c>
      <c r="D1" t="s">
        <v>33</v>
      </c>
      <c r="E1" t="s">
        <v>5</v>
      </c>
      <c r="F1" t="s">
        <v>6</v>
      </c>
      <c r="G1" t="s">
        <v>34</v>
      </c>
      <c r="H1" t="s">
        <v>15</v>
      </c>
      <c r="I1" t="s">
        <v>11</v>
      </c>
      <c r="J1" t="s">
        <v>47</v>
      </c>
      <c r="K1" t="s">
        <v>116</v>
      </c>
      <c r="L1" t="s">
        <v>236</v>
      </c>
      <c r="M1" t="s">
        <v>59</v>
      </c>
      <c r="N1" t="s">
        <v>35</v>
      </c>
      <c r="O1" s="60" t="s">
        <v>168</v>
      </c>
      <c r="P1" t="s">
        <v>36</v>
      </c>
    </row>
    <row r="2" spans="1:17" x14ac:dyDescent="0.45">
      <c r="A2" t="s">
        <v>23</v>
      </c>
      <c r="B2">
        <v>20</v>
      </c>
      <c r="C2">
        <v>10</v>
      </c>
      <c r="D2">
        <v>0.3</v>
      </c>
      <c r="E2">
        <v>20</v>
      </c>
      <c r="F2">
        <v>10</v>
      </c>
      <c r="G2">
        <v>0</v>
      </c>
      <c r="H2">
        <v>0</v>
      </c>
      <c r="I2">
        <v>0</v>
      </c>
      <c r="K2">
        <v>7200</v>
      </c>
      <c r="N2">
        <v>0</v>
      </c>
      <c r="O2" s="60">
        <v>0</v>
      </c>
      <c r="P2" t="s">
        <v>938</v>
      </c>
      <c r="Q2" t="s">
        <v>939</v>
      </c>
    </row>
    <row r="3" spans="1:17" x14ac:dyDescent="0.45">
      <c r="A3" t="s">
        <v>19</v>
      </c>
      <c r="B3">
        <v>20</v>
      </c>
      <c r="C3">
        <v>10</v>
      </c>
      <c r="D3">
        <v>0</v>
      </c>
      <c r="E3">
        <v>30</v>
      </c>
      <c r="F3">
        <v>10</v>
      </c>
      <c r="G3">
        <v>0</v>
      </c>
      <c r="H3">
        <v>0.5</v>
      </c>
      <c r="I3">
        <v>0.2</v>
      </c>
      <c r="J3">
        <v>1</v>
      </c>
      <c r="K3">
        <v>1000</v>
      </c>
      <c r="L3">
        <v>0</v>
      </c>
      <c r="N3">
        <v>1</v>
      </c>
      <c r="O3" s="60" t="s">
        <v>323</v>
      </c>
      <c r="P3" t="s">
        <v>940</v>
      </c>
      <c r="Q3" t="s">
        <v>1044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4.25" x14ac:dyDescent="0.45"/>
  <cols>
    <col min="2" max="2" width="26.59765625" customWidth="1"/>
    <col min="3" max="3" width="9.59765625" customWidth="1"/>
    <col min="4" max="4" width="11" customWidth="1"/>
    <col min="7" max="7" width="28.265625" customWidth="1"/>
    <col min="8" max="8" width="32.73046875" customWidth="1"/>
    <col min="9" max="9" width="40.59765625" customWidth="1"/>
    <col min="13" max="13" width="30.73046875" customWidth="1"/>
    <col min="14" max="14" width="27" customWidth="1"/>
    <col min="16" max="16" width="50.73046875" customWidth="1"/>
  </cols>
  <sheetData>
    <row r="1" spans="1:14" x14ac:dyDescent="0.45">
      <c r="A1" t="s">
        <v>124</v>
      </c>
      <c r="B1" t="s">
        <v>186</v>
      </c>
      <c r="C1" t="s">
        <v>426</v>
      </c>
      <c r="D1" t="s">
        <v>451</v>
      </c>
      <c r="E1" t="s">
        <v>494</v>
      </c>
      <c r="F1" t="s">
        <v>544</v>
      </c>
      <c r="G1" t="s">
        <v>584</v>
      </c>
      <c r="H1" t="s">
        <v>585</v>
      </c>
      <c r="I1" t="s">
        <v>632</v>
      </c>
      <c r="J1" t="s">
        <v>664</v>
      </c>
      <c r="K1" t="s">
        <v>727</v>
      </c>
      <c r="L1" t="s">
        <v>751</v>
      </c>
      <c r="M1" t="s">
        <v>784</v>
      </c>
      <c r="N1" t="s">
        <v>813</v>
      </c>
    </row>
    <row r="2" spans="1:14" x14ac:dyDescent="0.45">
      <c r="N2" t="s">
        <v>826</v>
      </c>
    </row>
    <row r="3" spans="1:14" x14ac:dyDescent="0.45">
      <c r="B3" t="s">
        <v>140</v>
      </c>
      <c r="C3" t="s">
        <v>427</v>
      </c>
      <c r="D3" t="s">
        <v>427</v>
      </c>
      <c r="E3" t="s">
        <v>427</v>
      </c>
      <c r="F3" t="s">
        <v>493</v>
      </c>
      <c r="G3" t="s">
        <v>627</v>
      </c>
      <c r="H3" t="s">
        <v>493</v>
      </c>
      <c r="I3" t="s">
        <v>627</v>
      </c>
      <c r="J3" t="s">
        <v>646</v>
      </c>
      <c r="K3" t="s">
        <v>627</v>
      </c>
      <c r="L3" t="s">
        <v>743</v>
      </c>
      <c r="M3" t="s">
        <v>627</v>
      </c>
    </row>
    <row r="4" spans="1:14" x14ac:dyDescent="0.45">
      <c r="B4" t="s">
        <v>141</v>
      </c>
      <c r="C4" t="s">
        <v>428</v>
      </c>
      <c r="D4" t="s">
        <v>428</v>
      </c>
      <c r="E4" t="s">
        <v>428</v>
      </c>
      <c r="K4" t="s">
        <v>728</v>
      </c>
      <c r="L4" t="s">
        <v>627</v>
      </c>
      <c r="M4" t="s">
        <v>785</v>
      </c>
      <c r="N4" t="s">
        <v>827</v>
      </c>
    </row>
    <row r="5" spans="1:14" x14ac:dyDescent="0.45">
      <c r="B5" t="s">
        <v>142</v>
      </c>
      <c r="C5" t="s">
        <v>429</v>
      </c>
      <c r="D5" t="s">
        <v>429</v>
      </c>
      <c r="E5" t="s">
        <v>429</v>
      </c>
      <c r="F5" t="s">
        <v>545</v>
      </c>
      <c r="G5" t="s">
        <v>586</v>
      </c>
      <c r="H5" t="s">
        <v>586</v>
      </c>
      <c r="J5" t="s">
        <v>427</v>
      </c>
      <c r="K5" t="s">
        <v>729</v>
      </c>
      <c r="L5" t="s">
        <v>528</v>
      </c>
      <c r="M5" t="s">
        <v>786</v>
      </c>
      <c r="N5" t="s">
        <v>828</v>
      </c>
    </row>
    <row r="6" spans="1:14" x14ac:dyDescent="0.45">
      <c r="B6" t="s">
        <v>143</v>
      </c>
      <c r="C6" t="s">
        <v>430</v>
      </c>
      <c r="D6" t="s">
        <v>430</v>
      </c>
      <c r="E6" t="s">
        <v>430</v>
      </c>
      <c r="F6" t="s">
        <v>546</v>
      </c>
      <c r="G6" t="s">
        <v>587</v>
      </c>
      <c r="H6" t="s">
        <v>587</v>
      </c>
      <c r="I6" t="s">
        <v>628</v>
      </c>
      <c r="J6" t="s">
        <v>428</v>
      </c>
      <c r="K6" t="s">
        <v>730</v>
      </c>
      <c r="L6" t="s">
        <v>597</v>
      </c>
      <c r="M6" t="s">
        <v>787</v>
      </c>
      <c r="N6" t="s">
        <v>829</v>
      </c>
    </row>
    <row r="7" spans="1:14" x14ac:dyDescent="0.45">
      <c r="B7" t="s">
        <v>144</v>
      </c>
      <c r="C7" t="s">
        <v>431</v>
      </c>
      <c r="D7" t="s">
        <v>431</v>
      </c>
      <c r="E7" t="s">
        <v>431</v>
      </c>
      <c r="F7" t="s">
        <v>547</v>
      </c>
      <c r="G7" t="s">
        <v>589</v>
      </c>
      <c r="H7" t="s">
        <v>588</v>
      </c>
      <c r="J7" t="s">
        <v>429</v>
      </c>
      <c r="K7" t="s">
        <v>731</v>
      </c>
      <c r="L7" t="s">
        <v>725</v>
      </c>
      <c r="M7" t="s">
        <v>788</v>
      </c>
      <c r="N7" t="s">
        <v>830</v>
      </c>
    </row>
    <row r="8" spans="1:14" x14ac:dyDescent="0.45">
      <c r="B8" t="s">
        <v>493</v>
      </c>
      <c r="C8" t="s">
        <v>432</v>
      </c>
      <c r="D8" t="s">
        <v>432</v>
      </c>
      <c r="E8" t="s">
        <v>432</v>
      </c>
      <c r="F8" t="s">
        <v>548</v>
      </c>
      <c r="G8" t="s">
        <v>590</v>
      </c>
      <c r="H8" t="s">
        <v>589</v>
      </c>
      <c r="I8" t="s">
        <v>699</v>
      </c>
      <c r="J8" t="s">
        <v>430</v>
      </c>
      <c r="K8" t="s">
        <v>732</v>
      </c>
      <c r="L8" t="s">
        <v>744</v>
      </c>
      <c r="M8" t="s">
        <v>789</v>
      </c>
      <c r="N8" t="s">
        <v>831</v>
      </c>
    </row>
    <row r="9" spans="1:14" x14ac:dyDescent="0.45">
      <c r="B9" t="s">
        <v>100</v>
      </c>
      <c r="C9" t="s">
        <v>433</v>
      </c>
      <c r="D9" t="s">
        <v>433</v>
      </c>
      <c r="E9" t="s">
        <v>433</v>
      </c>
      <c r="F9" t="s">
        <v>549</v>
      </c>
      <c r="G9" t="s">
        <v>591</v>
      </c>
      <c r="H9" t="s">
        <v>590</v>
      </c>
      <c r="I9" s="133" t="s">
        <v>700</v>
      </c>
      <c r="L9" t="str">
        <f>CONCATENATE("M140 S",BedTemp)</f>
        <v>M140 S60</v>
      </c>
      <c r="M9" t="s">
        <v>790</v>
      </c>
      <c r="N9" t="s">
        <v>549</v>
      </c>
    </row>
    <row r="10" spans="1:14" x14ac:dyDescent="0.45">
      <c r="B10" t="s">
        <v>145</v>
      </c>
      <c r="C10" t="s">
        <v>434</v>
      </c>
      <c r="D10" t="s">
        <v>452</v>
      </c>
      <c r="E10" t="s">
        <v>495</v>
      </c>
      <c r="G10" t="s">
        <v>713</v>
      </c>
      <c r="H10" t="s">
        <v>591</v>
      </c>
      <c r="I10" t="s">
        <v>701</v>
      </c>
      <c r="J10" t="s">
        <v>647</v>
      </c>
      <c r="K10" t="s">
        <v>733</v>
      </c>
      <c r="M10" t="s">
        <v>791</v>
      </c>
      <c r="N10" t="s">
        <v>85</v>
      </c>
    </row>
    <row r="11" spans="1:14" x14ac:dyDescent="0.45">
      <c r="B11" t="s">
        <v>146</v>
      </c>
      <c r="C11" t="s">
        <v>435</v>
      </c>
      <c r="D11" t="s">
        <v>453</v>
      </c>
      <c r="E11" t="s">
        <v>496</v>
      </c>
      <c r="G11" t="s">
        <v>714</v>
      </c>
      <c r="H11" t="s">
        <v>611</v>
      </c>
      <c r="I11" t="s">
        <v>702</v>
      </c>
      <c r="J11" t="s">
        <v>648</v>
      </c>
      <c r="K11" t="s">
        <v>499</v>
      </c>
      <c r="M11" t="s">
        <v>792</v>
      </c>
      <c r="N11" t="s">
        <v>725</v>
      </c>
    </row>
    <row r="12" spans="1:14" x14ac:dyDescent="0.45">
      <c r="B12" t="s">
        <v>147</v>
      </c>
      <c r="C12" t="s">
        <v>436</v>
      </c>
      <c r="D12" t="s">
        <v>454</v>
      </c>
      <c r="E12" t="s">
        <v>497</v>
      </c>
      <c r="F12" t="s">
        <v>550</v>
      </c>
      <c r="G12" t="s">
        <v>592</v>
      </c>
      <c r="H12" t="s">
        <v>612</v>
      </c>
      <c r="I12" t="s">
        <v>697</v>
      </c>
      <c r="J12" t="s">
        <v>649</v>
      </c>
      <c r="K12" t="s">
        <v>126</v>
      </c>
      <c r="L12" t="s">
        <v>745</v>
      </c>
      <c r="M12" t="s">
        <v>793</v>
      </c>
      <c r="N12" t="s">
        <v>832</v>
      </c>
    </row>
    <row r="13" spans="1:14" ht="28.5" x14ac:dyDescent="0.45">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45">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45">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45">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45">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45">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45">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45">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45">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S255 ; set fan speed</v>
      </c>
      <c r="M21" t="s">
        <v>802</v>
      </c>
      <c r="N21" t="s">
        <v>837</v>
      </c>
    </row>
    <row r="22" spans="2:14" x14ac:dyDescent="0.45">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45">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45">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45">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45">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45">
      <c r="C27" t="s">
        <v>440</v>
      </c>
      <c r="E27" t="s">
        <v>501</v>
      </c>
      <c r="F27" t="s">
        <v>560</v>
      </c>
      <c r="G27" t="s">
        <v>598</v>
      </c>
      <c r="I27" t="s">
        <v>633</v>
      </c>
      <c r="J27" t="str">
        <f>CONCATENATE("M104 S",NozzleTemp)</f>
        <v>M104 S210</v>
      </c>
      <c r="M27" t="s">
        <v>812</v>
      </c>
      <c r="N27" t="s">
        <v>841</v>
      </c>
    </row>
    <row r="28" spans="2:14" x14ac:dyDescent="0.45">
      <c r="B28" t="str">
        <f>CONCATENATE("M106 S",FanSpeed, " ; set fan speed")</f>
        <v>M106 S255 ; set fan speed</v>
      </c>
      <c r="C28" t="s">
        <v>441</v>
      </c>
      <c r="D28" t="s">
        <v>438</v>
      </c>
      <c r="E28" t="s">
        <v>502</v>
      </c>
      <c r="F28" t="s">
        <v>561</v>
      </c>
      <c r="G28" t="s">
        <v>83</v>
      </c>
      <c r="I28" t="s">
        <v>613</v>
      </c>
      <c r="J28" t="s">
        <v>658</v>
      </c>
      <c r="L28" t="s">
        <v>152</v>
      </c>
      <c r="N28" t="s">
        <v>835</v>
      </c>
    </row>
    <row r="29" spans="2:14" x14ac:dyDescent="0.45">
      <c r="C29" t="s">
        <v>442</v>
      </c>
      <c r="D29" t="s">
        <v>439</v>
      </c>
      <c r="E29" t="s">
        <v>503</v>
      </c>
      <c r="F29" t="s">
        <v>562</v>
      </c>
      <c r="G29" t="s">
        <v>720</v>
      </c>
      <c r="I29" t="str">
        <f>CONCATENATE("M106 S",FanSpeed, " ; set fan speed")</f>
        <v>M106 S255 ; set fan speed</v>
      </c>
      <c r="J29" t="s">
        <v>499</v>
      </c>
      <c r="M29" t="s">
        <v>597</v>
      </c>
    </row>
    <row r="30" spans="2:14" x14ac:dyDescent="0.45">
      <c r="B30" t="s">
        <v>159</v>
      </c>
      <c r="C30" t="s">
        <v>443</v>
      </c>
      <c r="D30" t="s">
        <v>440</v>
      </c>
      <c r="E30" t="s">
        <v>504</v>
      </c>
      <c r="F30" t="s">
        <v>563</v>
      </c>
      <c r="G30" t="s">
        <v>721</v>
      </c>
      <c r="H30" t="s">
        <v>606</v>
      </c>
      <c r="J30" t="s">
        <v>659</v>
      </c>
      <c r="K30" t="s">
        <v>127</v>
      </c>
      <c r="M30" t="s">
        <v>100</v>
      </c>
      <c r="N30" t="s">
        <v>566</v>
      </c>
    </row>
    <row r="31" spans="2:14" x14ac:dyDescent="0.45">
      <c r="D31" t="s">
        <v>441</v>
      </c>
      <c r="E31" t="s">
        <v>505</v>
      </c>
      <c r="F31" t="s">
        <v>564</v>
      </c>
      <c r="G31" t="s">
        <v>83</v>
      </c>
      <c r="H31" t="s">
        <v>633</v>
      </c>
      <c r="I31" t="s">
        <v>704</v>
      </c>
      <c r="J31" t="s">
        <v>660</v>
      </c>
      <c r="K31" t="s">
        <v>739</v>
      </c>
      <c r="L31" t="s">
        <v>127</v>
      </c>
      <c r="N31" t="s">
        <v>550</v>
      </c>
    </row>
    <row r="32" spans="2:14" x14ac:dyDescent="0.45">
      <c r="B32" t="s">
        <v>92</v>
      </c>
      <c r="C32" t="s">
        <v>145</v>
      </c>
      <c r="D32" t="s">
        <v>442</v>
      </c>
      <c r="E32" t="s">
        <v>506</v>
      </c>
      <c r="F32" t="s">
        <v>556</v>
      </c>
      <c r="G32" t="s">
        <v>602</v>
      </c>
      <c r="H32" t="s">
        <v>607</v>
      </c>
      <c r="J32" t="str">
        <f>CONCATENATE("M109 S",NozzleTemp)</f>
        <v>M109 S210</v>
      </c>
      <c r="K32" t="s">
        <v>127</v>
      </c>
      <c r="N32" t="s">
        <v>842</v>
      </c>
    </row>
    <row r="33" spans="2:14" x14ac:dyDescent="0.45">
      <c r="B33" t="s">
        <v>127</v>
      </c>
      <c r="D33" t="s">
        <v>443</v>
      </c>
      <c r="E33" t="s">
        <v>507</v>
      </c>
      <c r="G33" t="s">
        <v>722</v>
      </c>
      <c r="H33" t="s">
        <v>608</v>
      </c>
      <c r="I33" t="s">
        <v>629</v>
      </c>
      <c r="J33" t="str">
        <f>CONCATENATE("M190 S",BedTemp)</f>
        <v>M190 S60</v>
      </c>
      <c r="K33" t="s">
        <v>127</v>
      </c>
      <c r="M33" t="s">
        <v>83</v>
      </c>
      <c r="N33" t="s">
        <v>83</v>
      </c>
    </row>
    <row r="34" spans="2:14" x14ac:dyDescent="0.45">
      <c r="B34" t="s">
        <v>152</v>
      </c>
      <c r="C34" t="s">
        <v>444</v>
      </c>
      <c r="E34" t="s">
        <v>508</v>
      </c>
      <c r="F34" t="s">
        <v>565</v>
      </c>
      <c r="G34" t="s">
        <v>603</v>
      </c>
      <c r="H34" t="s">
        <v>609</v>
      </c>
      <c r="I34" t="s">
        <v>630</v>
      </c>
      <c r="J34" t="s">
        <v>661</v>
      </c>
      <c r="M34" t="str">
        <f>CONCATENATE("M140 S",BedTemp)</f>
        <v>M140 S60</v>
      </c>
    </row>
    <row r="35" spans="2:14" x14ac:dyDescent="0.45">
      <c r="B35" t="s">
        <v>127</v>
      </c>
      <c r="C35" t="s">
        <v>445</v>
      </c>
      <c r="E35" t="s">
        <v>509</v>
      </c>
      <c r="F35" t="s">
        <v>566</v>
      </c>
      <c r="G35" t="str">
        <f>CONCATENATE("M106 S",FanSpeed, " ; set fan speed")</f>
        <v>M106 S255 ; set fan speed</v>
      </c>
      <c r="H35" t="s">
        <v>610</v>
      </c>
      <c r="J35" t="s">
        <v>662</v>
      </c>
      <c r="K35" t="s">
        <v>152</v>
      </c>
      <c r="M35" t="str">
        <f>CONCATENATE("M109 S",NozzleTemp)</f>
        <v>M109 S210</v>
      </c>
      <c r="N35" t="str">
        <f>CONCATENATE("M106 S",FanSpeed, " ; set fan speed")</f>
        <v>M106 S255 ; set fan speed</v>
      </c>
    </row>
    <row r="36" spans="2:14" x14ac:dyDescent="0.45">
      <c r="C36" t="s">
        <v>446</v>
      </c>
      <c r="D36" t="s">
        <v>455</v>
      </c>
      <c r="E36" t="s">
        <v>510</v>
      </c>
      <c r="F36" t="s">
        <v>550</v>
      </c>
      <c r="H36" t="s">
        <v>598</v>
      </c>
      <c r="I36" t="s">
        <v>631</v>
      </c>
      <c r="J36" t="s">
        <v>661</v>
      </c>
      <c r="M36" t="s">
        <v>807</v>
      </c>
      <c r="N36" t="s">
        <v>843</v>
      </c>
    </row>
    <row r="37" spans="2:14" x14ac:dyDescent="0.45">
      <c r="C37" t="s">
        <v>447</v>
      </c>
      <c r="D37" t="s">
        <v>456</v>
      </c>
      <c r="E37" t="s">
        <v>511</v>
      </c>
      <c r="F37" t="s">
        <v>567</v>
      </c>
      <c r="H37" t="s">
        <v>599</v>
      </c>
      <c r="J37" t="s">
        <v>663</v>
      </c>
      <c r="M37" t="s">
        <v>808</v>
      </c>
      <c r="N37" t="s">
        <v>844</v>
      </c>
    </row>
    <row r="38" spans="2:14" x14ac:dyDescent="0.45">
      <c r="C38" t="s">
        <v>448</v>
      </c>
      <c r="D38" t="s">
        <v>457</v>
      </c>
      <c r="E38" t="s">
        <v>83</v>
      </c>
      <c r="F38" t="s">
        <v>568</v>
      </c>
      <c r="H38" t="s">
        <v>83</v>
      </c>
      <c r="J38" t="s">
        <v>663</v>
      </c>
      <c r="M38" t="s">
        <v>809</v>
      </c>
      <c r="N38" t="s">
        <v>83</v>
      </c>
    </row>
    <row r="39" spans="2:14" x14ac:dyDescent="0.45">
      <c r="C39" t="s">
        <v>449</v>
      </c>
      <c r="D39" t="s">
        <v>458</v>
      </c>
      <c r="E39" t="s">
        <v>83</v>
      </c>
      <c r="G39" t="s">
        <v>723</v>
      </c>
      <c r="H39" t="s">
        <v>600</v>
      </c>
      <c r="I39" t="s">
        <v>152</v>
      </c>
      <c r="N39" t="s">
        <v>845</v>
      </c>
    </row>
    <row r="40" spans="2:14" x14ac:dyDescent="0.45">
      <c r="C40" t="s">
        <v>444</v>
      </c>
      <c r="D40" t="s">
        <v>459</v>
      </c>
      <c r="G40" t="s">
        <v>724</v>
      </c>
      <c r="H40" t="s">
        <v>83</v>
      </c>
      <c r="M40" t="str">
        <f>CONCATENATE("M106 S",FanSpeed, " ; set fan speed")</f>
        <v>M106 S255 ; set fan speed</v>
      </c>
    </row>
    <row r="41" spans="2:14" x14ac:dyDescent="0.45">
      <c r="C41" t="s">
        <v>445</v>
      </c>
      <c r="D41" t="s">
        <v>460</v>
      </c>
      <c r="E41" t="str">
        <f>CONCATENATE("M106 S",FanSpeed, " ; set fan speed")</f>
        <v>M106 S255 ; set fan speed</v>
      </c>
      <c r="F41" t="s">
        <v>556</v>
      </c>
      <c r="G41" t="s">
        <v>725</v>
      </c>
      <c r="H41" t="s">
        <v>601</v>
      </c>
      <c r="J41" t="s">
        <v>613</v>
      </c>
      <c r="N41" t="s">
        <v>846</v>
      </c>
    </row>
    <row r="42" spans="2:14" x14ac:dyDescent="0.45">
      <c r="D42" t="s">
        <v>455</v>
      </c>
      <c r="E42" t="s">
        <v>513</v>
      </c>
      <c r="H42" t="s">
        <v>597</v>
      </c>
      <c r="M42" t="s">
        <v>810</v>
      </c>
      <c r="N42" t="s">
        <v>573</v>
      </c>
    </row>
    <row r="43" spans="2:14" x14ac:dyDescent="0.45">
      <c r="C43" t="s">
        <v>83</v>
      </c>
      <c r="D43" t="s">
        <v>461</v>
      </c>
      <c r="E43" t="s">
        <v>514</v>
      </c>
      <c r="F43" t="s">
        <v>569</v>
      </c>
      <c r="G43" t="s">
        <v>152</v>
      </c>
      <c r="H43" t="s">
        <v>83</v>
      </c>
      <c r="J43" t="str">
        <f>CONCATENATE("M106 S",FanSpeed, " ; set fan speed")</f>
        <v>M106 S255 ; set fan speed</v>
      </c>
      <c r="M43" t="s">
        <v>811</v>
      </c>
      <c r="N43" t="s">
        <v>847</v>
      </c>
    </row>
    <row r="44" spans="2:14" x14ac:dyDescent="0.45">
      <c r="D44" t="s">
        <v>83</v>
      </c>
      <c r="E44" t="s">
        <v>515</v>
      </c>
      <c r="H44" t="s">
        <v>600</v>
      </c>
      <c r="N44" t="s">
        <v>848</v>
      </c>
    </row>
    <row r="45" spans="2:14" x14ac:dyDescent="0.45">
      <c r="H45" t="s">
        <v>83</v>
      </c>
      <c r="N45" t="s">
        <v>83</v>
      </c>
    </row>
    <row r="46" spans="2:14" x14ac:dyDescent="0.45">
      <c r="D46" t="str">
        <f>CONCATENATE("M106 S",FanSpeed, " ; set fan speed")</f>
        <v>M106 S255 ; set fan speed</v>
      </c>
      <c r="E46" t="s">
        <v>450</v>
      </c>
      <c r="F46" t="s">
        <v>570</v>
      </c>
      <c r="H46" t="s">
        <v>602</v>
      </c>
      <c r="J46" t="s">
        <v>450</v>
      </c>
      <c r="M46" t="s">
        <v>725</v>
      </c>
    </row>
    <row r="47" spans="2:14" x14ac:dyDescent="0.45">
      <c r="C47" t="str">
        <f>CONCATENATE("M106 S",FanSpeed, " ; set fan speed")</f>
        <v>M106 S255 ; set fan speed</v>
      </c>
      <c r="F47" t="s">
        <v>571</v>
      </c>
      <c r="H47" t="s">
        <v>510</v>
      </c>
      <c r="N47" t="s">
        <v>725</v>
      </c>
    </row>
    <row r="48" spans="2:14" x14ac:dyDescent="0.45">
      <c r="D48" t="s">
        <v>126</v>
      </c>
      <c r="E48" t="s">
        <v>126</v>
      </c>
      <c r="F48" t="s">
        <v>572</v>
      </c>
      <c r="J48" t="s">
        <v>152</v>
      </c>
      <c r="M48" t="s">
        <v>152</v>
      </c>
    </row>
    <row r="49" spans="3:14" x14ac:dyDescent="0.45">
      <c r="C49" t="s">
        <v>126</v>
      </c>
      <c r="D49" t="s">
        <v>450</v>
      </c>
      <c r="F49" t="s">
        <v>573</v>
      </c>
      <c r="H49" t="str">
        <f>CONCATENATE("M106 S",FanSpeed, " ; set fan speed")</f>
        <v>M106 S255 ; set fan speed</v>
      </c>
      <c r="N49" t="s">
        <v>849</v>
      </c>
    </row>
    <row r="50" spans="3:14" x14ac:dyDescent="0.45">
      <c r="C50" t="s">
        <v>450</v>
      </c>
      <c r="E50" t="s">
        <v>516</v>
      </c>
      <c r="F50" t="s">
        <v>574</v>
      </c>
    </row>
    <row r="51" spans="3:14" x14ac:dyDescent="0.45">
      <c r="D51" t="s">
        <v>152</v>
      </c>
      <c r="E51" t="s">
        <v>517</v>
      </c>
      <c r="H51" t="s">
        <v>450</v>
      </c>
    </row>
    <row r="52" spans="3:14" x14ac:dyDescent="0.45">
      <c r="H52" t="s">
        <v>613</v>
      </c>
    </row>
    <row r="53" spans="3:14" x14ac:dyDescent="0.45">
      <c r="E53" t="s">
        <v>152</v>
      </c>
      <c r="F53" t="str">
        <f>CONCATENATE("M106 S",FanSpeed, " ; set fan speed")</f>
        <v>M106 S255 ; set fan speed</v>
      </c>
      <c r="J53" t="s">
        <v>127</v>
      </c>
      <c r="N53" t="s">
        <v>127</v>
      </c>
    </row>
    <row r="54" spans="3:14" x14ac:dyDescent="0.45">
      <c r="C54" t="s">
        <v>152</v>
      </c>
      <c r="H54" t="s">
        <v>603</v>
      </c>
    </row>
    <row r="55" spans="3:14" x14ac:dyDescent="0.45">
      <c r="F55" t="s">
        <v>152</v>
      </c>
      <c r="H55" t="s">
        <v>152</v>
      </c>
    </row>
    <row r="57" spans="3:14" x14ac:dyDescent="0.45">
      <c r="E57" t="s">
        <v>127</v>
      </c>
    </row>
    <row r="58" spans="3:14" x14ac:dyDescent="0.45">
      <c r="C58" t="s">
        <v>127</v>
      </c>
      <c r="F58" t="s">
        <v>127</v>
      </c>
      <c r="H58" t="s">
        <v>127</v>
      </c>
    </row>
    <row r="62" spans="3:14" x14ac:dyDescent="0.45">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4.25" x14ac:dyDescent="0.45"/>
  <cols>
    <col min="4" max="4" width="11" customWidth="1"/>
    <col min="7" max="8" width="28.265625" customWidth="1"/>
    <col min="12" max="12" width="24.73046875" bestFit="1" customWidth="1"/>
    <col min="13" max="13" width="47.59765625" customWidth="1"/>
    <col min="14" max="14" width="9.73046875" customWidth="1"/>
  </cols>
  <sheetData>
    <row r="1" spans="1:14" x14ac:dyDescent="0.45">
      <c r="A1" t="s">
        <v>128</v>
      </c>
      <c r="B1" t="s">
        <v>156</v>
      </c>
      <c r="C1" t="s">
        <v>426</v>
      </c>
      <c r="D1" t="s">
        <v>451</v>
      </c>
      <c r="E1" t="s">
        <v>494</v>
      </c>
      <c r="F1" t="s">
        <v>544</v>
      </c>
      <c r="G1" t="s">
        <v>584</v>
      </c>
      <c r="H1" t="s">
        <v>585</v>
      </c>
      <c r="I1" t="s">
        <v>632</v>
      </c>
      <c r="J1" t="s">
        <v>664</v>
      </c>
      <c r="K1" t="s">
        <v>727</v>
      </c>
      <c r="L1" t="s">
        <v>751</v>
      </c>
      <c r="M1" t="s">
        <v>784</v>
      </c>
      <c r="N1" t="s">
        <v>813</v>
      </c>
    </row>
    <row r="2" spans="1:14" x14ac:dyDescent="0.45">
      <c r="N2" t="s">
        <v>127</v>
      </c>
    </row>
    <row r="3" spans="1:14" x14ac:dyDescent="0.45">
      <c r="B3" t="s">
        <v>139</v>
      </c>
      <c r="C3" t="s">
        <v>139</v>
      </c>
      <c r="D3" t="s">
        <v>139</v>
      </c>
      <c r="E3" t="s">
        <v>139</v>
      </c>
      <c r="F3" t="s">
        <v>139</v>
      </c>
      <c r="G3" t="s">
        <v>139</v>
      </c>
      <c r="H3" t="s">
        <v>139</v>
      </c>
      <c r="I3" t="s">
        <v>139</v>
      </c>
      <c r="J3" t="s">
        <v>139</v>
      </c>
      <c r="K3" t="s">
        <v>139</v>
      </c>
      <c r="L3" t="s">
        <v>139</v>
      </c>
      <c r="M3" t="s">
        <v>139</v>
      </c>
    </row>
    <row r="4" spans="1:14" x14ac:dyDescent="0.45">
      <c r="G4" t="s">
        <v>127</v>
      </c>
    </row>
    <row r="5" spans="1:14" x14ac:dyDescent="0.45">
      <c r="B5" t="s">
        <v>160</v>
      </c>
      <c r="E5" t="s">
        <v>512</v>
      </c>
      <c r="H5" t="s">
        <v>604</v>
      </c>
    </row>
    <row r="6" spans="1:14" x14ac:dyDescent="0.45">
      <c r="B6" t="s">
        <v>85</v>
      </c>
      <c r="C6" t="s">
        <v>462</v>
      </c>
      <c r="D6" t="s">
        <v>462</v>
      </c>
      <c r="E6" t="s">
        <v>463</v>
      </c>
      <c r="F6" t="s">
        <v>575</v>
      </c>
      <c r="G6" t="s">
        <v>604</v>
      </c>
      <c r="H6" t="s">
        <v>621</v>
      </c>
      <c r="N6" t="s">
        <v>814</v>
      </c>
    </row>
    <row r="7" spans="1:14" x14ac:dyDescent="0.45">
      <c r="C7" t="s">
        <v>463</v>
      </c>
      <c r="D7" t="s">
        <v>463</v>
      </c>
      <c r="E7" t="s">
        <v>518</v>
      </c>
      <c r="G7" t="s">
        <v>83</v>
      </c>
      <c r="I7" t="s">
        <v>634</v>
      </c>
      <c r="J7" t="s">
        <v>696</v>
      </c>
      <c r="K7" t="s">
        <v>665</v>
      </c>
      <c r="L7" t="s">
        <v>752</v>
      </c>
      <c r="M7" t="s">
        <v>760</v>
      </c>
      <c r="N7" t="s">
        <v>815</v>
      </c>
    </row>
    <row r="8" spans="1:14" x14ac:dyDescent="0.45">
      <c r="B8" t="s">
        <v>137</v>
      </c>
      <c r="C8" t="s">
        <v>85</v>
      </c>
      <c r="D8" t="s">
        <v>85</v>
      </c>
      <c r="E8" t="s">
        <v>519</v>
      </c>
      <c r="G8" t="s">
        <v>635</v>
      </c>
      <c r="I8" t="s">
        <v>635</v>
      </c>
      <c r="K8" t="s">
        <v>499</v>
      </c>
      <c r="L8" t="s">
        <v>753</v>
      </c>
      <c r="N8" t="s">
        <v>816</v>
      </c>
    </row>
    <row r="9" spans="1:14" x14ac:dyDescent="0.45">
      <c r="B9" t="s">
        <v>100</v>
      </c>
      <c r="C9" t="s">
        <v>464</v>
      </c>
      <c r="D9" t="s">
        <v>464</v>
      </c>
      <c r="E9" t="s">
        <v>85</v>
      </c>
      <c r="F9" t="s">
        <v>464</v>
      </c>
      <c r="G9" t="s">
        <v>726</v>
      </c>
      <c r="H9" t="s">
        <v>614</v>
      </c>
      <c r="I9" t="s">
        <v>636</v>
      </c>
      <c r="J9" t="s">
        <v>463</v>
      </c>
      <c r="K9" t="s">
        <v>740</v>
      </c>
      <c r="L9" t="s">
        <v>597</v>
      </c>
      <c r="M9" t="s">
        <v>761</v>
      </c>
      <c r="N9" t="s">
        <v>85</v>
      </c>
    </row>
    <row r="10" spans="1:14" x14ac:dyDescent="0.45">
      <c r="B10" t="s">
        <v>101</v>
      </c>
      <c r="C10" t="s">
        <v>465</v>
      </c>
      <c r="D10" t="s">
        <v>465</v>
      </c>
      <c r="E10" t="s">
        <v>520</v>
      </c>
      <c r="F10" t="s">
        <v>576</v>
      </c>
      <c r="G10" t="s">
        <v>528</v>
      </c>
      <c r="H10" t="s">
        <v>615</v>
      </c>
      <c r="I10" t="s">
        <v>528</v>
      </c>
      <c r="J10" t="s">
        <v>85</v>
      </c>
      <c r="K10" t="s">
        <v>527</v>
      </c>
      <c r="L10" t="s">
        <v>754</v>
      </c>
      <c r="N10" t="s">
        <v>817</v>
      </c>
    </row>
    <row r="11" spans="1:14" x14ac:dyDescent="0.45">
      <c r="B11" t="s">
        <v>127</v>
      </c>
      <c r="C11" t="s">
        <v>466</v>
      </c>
      <c r="D11" t="s">
        <v>466</v>
      </c>
      <c r="E11" t="s">
        <v>521</v>
      </c>
      <c r="F11" t="s">
        <v>469</v>
      </c>
      <c r="G11" t="s">
        <v>614</v>
      </c>
      <c r="H11" t="s">
        <v>83</v>
      </c>
      <c r="I11" t="s">
        <v>637</v>
      </c>
      <c r="J11" t="s">
        <v>665</v>
      </c>
      <c r="K11" t="s">
        <v>665</v>
      </c>
      <c r="L11" t="s">
        <v>599</v>
      </c>
      <c r="N11" t="s">
        <v>521</v>
      </c>
    </row>
    <row r="12" spans="1:14" x14ac:dyDescent="0.45">
      <c r="B12" t="s">
        <v>127</v>
      </c>
      <c r="C12" t="s">
        <v>467</v>
      </c>
      <c r="D12" t="s">
        <v>467</v>
      </c>
      <c r="E12" t="s">
        <v>522</v>
      </c>
      <c r="G12" t="s">
        <v>83</v>
      </c>
      <c r="H12" t="s">
        <v>616</v>
      </c>
      <c r="I12" t="s">
        <v>638</v>
      </c>
      <c r="J12" t="s">
        <v>666</v>
      </c>
      <c r="K12" t="s">
        <v>741</v>
      </c>
      <c r="L12" t="s">
        <v>755</v>
      </c>
      <c r="M12" t="s">
        <v>463</v>
      </c>
      <c r="N12" t="s">
        <v>522</v>
      </c>
    </row>
    <row r="13" spans="1:14" x14ac:dyDescent="0.45">
      <c r="B13" t="s">
        <v>127</v>
      </c>
      <c r="C13" t="s">
        <v>468</v>
      </c>
      <c r="D13" t="s">
        <v>468</v>
      </c>
      <c r="E13" t="s">
        <v>85</v>
      </c>
      <c r="F13" t="s">
        <v>577</v>
      </c>
      <c r="G13" t="s">
        <v>616</v>
      </c>
      <c r="H13" t="s">
        <v>614</v>
      </c>
      <c r="J13" t="s">
        <v>499</v>
      </c>
      <c r="K13" t="s">
        <v>742</v>
      </c>
      <c r="L13" t="s">
        <v>604</v>
      </c>
      <c r="M13" t="s">
        <v>513</v>
      </c>
      <c r="N13" t="s">
        <v>818</v>
      </c>
    </row>
    <row r="14" spans="1:14" x14ac:dyDescent="0.45">
      <c r="C14" t="s">
        <v>469</v>
      </c>
      <c r="D14" t="s">
        <v>469</v>
      </c>
      <c r="E14" t="s">
        <v>523</v>
      </c>
      <c r="G14" t="s">
        <v>617</v>
      </c>
      <c r="H14" t="s">
        <v>615</v>
      </c>
      <c r="J14" t="s">
        <v>661</v>
      </c>
      <c r="K14" t="s">
        <v>100</v>
      </c>
      <c r="M14" t="s">
        <v>519</v>
      </c>
      <c r="N14" t="s">
        <v>819</v>
      </c>
    </row>
    <row r="15" spans="1:14" x14ac:dyDescent="0.45">
      <c r="B15" t="s">
        <v>93</v>
      </c>
      <c r="E15" t="s">
        <v>524</v>
      </c>
      <c r="F15" t="s">
        <v>578</v>
      </c>
      <c r="G15" t="s">
        <v>614</v>
      </c>
      <c r="H15" t="s">
        <v>617</v>
      </c>
      <c r="I15" t="s">
        <v>639</v>
      </c>
      <c r="J15" t="s">
        <v>524</v>
      </c>
      <c r="K15" t="s">
        <v>101</v>
      </c>
      <c r="L15" t="s">
        <v>597</v>
      </c>
      <c r="M15" t="s">
        <v>85</v>
      </c>
    </row>
    <row r="16" spans="1:14" x14ac:dyDescent="0.45">
      <c r="B16" t="s">
        <v>94</v>
      </c>
      <c r="C16" t="s">
        <v>470</v>
      </c>
      <c r="D16" t="s">
        <v>484</v>
      </c>
      <c r="E16" t="s">
        <v>543</v>
      </c>
      <c r="F16" t="s">
        <v>579</v>
      </c>
      <c r="G16" t="s">
        <v>475</v>
      </c>
      <c r="H16" t="s">
        <v>618</v>
      </c>
      <c r="I16" t="s">
        <v>640</v>
      </c>
      <c r="J16" t="s">
        <v>667</v>
      </c>
      <c r="L16" t="s">
        <v>635</v>
      </c>
      <c r="M16" t="s">
        <v>762</v>
      </c>
      <c r="N16" t="s">
        <v>820</v>
      </c>
    </row>
    <row r="17" spans="2:14" x14ac:dyDescent="0.45">
      <c r="B17" t="s">
        <v>95</v>
      </c>
      <c r="C17" t="s">
        <v>471</v>
      </c>
      <c r="D17" t="s">
        <v>471</v>
      </c>
      <c r="E17" t="s">
        <v>525</v>
      </c>
      <c r="F17" t="s">
        <v>580</v>
      </c>
      <c r="G17" t="s">
        <v>463</v>
      </c>
      <c r="H17" t="s">
        <v>463</v>
      </c>
      <c r="I17" t="s">
        <v>641</v>
      </c>
      <c r="J17" t="s">
        <v>668</v>
      </c>
      <c r="L17" t="s">
        <v>756</v>
      </c>
      <c r="M17" t="s">
        <v>763</v>
      </c>
      <c r="N17" t="s">
        <v>821</v>
      </c>
    </row>
    <row r="18" spans="2:14" x14ac:dyDescent="0.45">
      <c r="B18" t="s">
        <v>96</v>
      </c>
      <c r="C18" t="s">
        <v>472</v>
      </c>
      <c r="D18" t="s">
        <v>472</v>
      </c>
      <c r="E18" t="s">
        <v>526</v>
      </c>
      <c r="F18" t="s">
        <v>581</v>
      </c>
      <c r="G18" t="s">
        <v>85</v>
      </c>
      <c r="H18" t="s">
        <v>85</v>
      </c>
      <c r="J18" t="s">
        <v>100</v>
      </c>
      <c r="L18" t="s">
        <v>757</v>
      </c>
      <c r="M18" t="s">
        <v>764</v>
      </c>
      <c r="N18" t="s">
        <v>822</v>
      </c>
    </row>
    <row r="19" spans="2:14" x14ac:dyDescent="0.45">
      <c r="B19" t="s">
        <v>97</v>
      </c>
      <c r="C19" t="s">
        <v>473</v>
      </c>
      <c r="D19" t="s">
        <v>473</v>
      </c>
      <c r="E19" t="s">
        <v>527</v>
      </c>
      <c r="F19" t="s">
        <v>582</v>
      </c>
      <c r="G19" t="s">
        <v>635</v>
      </c>
      <c r="H19" t="s">
        <v>464</v>
      </c>
      <c r="J19" t="s">
        <v>475</v>
      </c>
      <c r="L19" t="s">
        <v>528</v>
      </c>
      <c r="M19" t="s">
        <v>765</v>
      </c>
      <c r="N19" t="s">
        <v>823</v>
      </c>
    </row>
    <row r="20" spans="2:14" x14ac:dyDescent="0.45">
      <c r="B20" t="s">
        <v>98</v>
      </c>
      <c r="E20" t="s">
        <v>528</v>
      </c>
      <c r="F20" t="s">
        <v>522</v>
      </c>
      <c r="G20" t="s">
        <v>620</v>
      </c>
      <c r="H20" t="s">
        <v>619</v>
      </c>
      <c r="J20" t="s">
        <v>101</v>
      </c>
      <c r="L20" t="s">
        <v>758</v>
      </c>
      <c r="M20" t="s">
        <v>100</v>
      </c>
      <c r="N20" t="s">
        <v>824</v>
      </c>
    </row>
    <row r="21" spans="2:14" x14ac:dyDescent="0.45">
      <c r="B21" t="s">
        <v>99</v>
      </c>
      <c r="C21" t="s">
        <v>474</v>
      </c>
      <c r="D21" t="s">
        <v>474</v>
      </c>
      <c r="E21" t="s">
        <v>529</v>
      </c>
      <c r="F21" t="s">
        <v>583</v>
      </c>
      <c r="G21" t="s">
        <v>137</v>
      </c>
      <c r="H21" t="s">
        <v>622</v>
      </c>
      <c r="L21" t="s">
        <v>759</v>
      </c>
      <c r="M21" t="s">
        <v>475</v>
      </c>
      <c r="N21" t="s">
        <v>822</v>
      </c>
    </row>
    <row r="22" spans="2:14" x14ac:dyDescent="0.45">
      <c r="E22" t="s">
        <v>100</v>
      </c>
      <c r="G22" t="s">
        <v>528</v>
      </c>
      <c r="H22" t="s">
        <v>469</v>
      </c>
      <c r="J22" t="s">
        <v>669</v>
      </c>
      <c r="M22" t="s">
        <v>618</v>
      </c>
      <c r="N22" t="s">
        <v>825</v>
      </c>
    </row>
    <row r="23" spans="2:14" x14ac:dyDescent="0.45">
      <c r="B23" t="s">
        <v>101</v>
      </c>
      <c r="C23" t="s">
        <v>100</v>
      </c>
      <c r="D23" t="s">
        <v>100</v>
      </c>
      <c r="E23" t="s">
        <v>475</v>
      </c>
      <c r="H23" t="s">
        <v>623</v>
      </c>
      <c r="J23" t="s">
        <v>670</v>
      </c>
      <c r="M23" t="s">
        <v>101</v>
      </c>
      <c r="N23" t="s">
        <v>822</v>
      </c>
    </row>
    <row r="24" spans="2:14" x14ac:dyDescent="0.45">
      <c r="B24" t="s">
        <v>102</v>
      </c>
      <c r="C24" t="s">
        <v>475</v>
      </c>
      <c r="D24" t="s">
        <v>475</v>
      </c>
      <c r="E24" t="s">
        <v>101</v>
      </c>
      <c r="H24" t="s">
        <v>620</v>
      </c>
      <c r="J24" t="s">
        <v>671</v>
      </c>
      <c r="M24" t="s">
        <v>766</v>
      </c>
    </row>
    <row r="25" spans="2:14" x14ac:dyDescent="0.45">
      <c r="B25" t="s">
        <v>103</v>
      </c>
      <c r="C25" t="s">
        <v>101</v>
      </c>
      <c r="D25" t="s">
        <v>101</v>
      </c>
      <c r="E25" t="s">
        <v>530</v>
      </c>
      <c r="J25" t="s">
        <v>672</v>
      </c>
      <c r="M25" t="s">
        <v>767</v>
      </c>
    </row>
    <row r="26" spans="2:14" x14ac:dyDescent="0.45">
      <c r="B26" t="s">
        <v>104</v>
      </c>
      <c r="C26" t="s">
        <v>476</v>
      </c>
      <c r="D26" t="s">
        <v>485</v>
      </c>
      <c r="E26" t="s">
        <v>531</v>
      </c>
      <c r="J26" t="s">
        <v>673</v>
      </c>
      <c r="M26" t="s">
        <v>768</v>
      </c>
    </row>
    <row r="27" spans="2:14" x14ac:dyDescent="0.45">
      <c r="B27" t="s">
        <v>105</v>
      </c>
      <c r="C27" t="s">
        <v>477</v>
      </c>
      <c r="D27" t="s">
        <v>486</v>
      </c>
      <c r="E27" t="s">
        <v>532</v>
      </c>
      <c r="H27" t="s">
        <v>100</v>
      </c>
      <c r="J27" t="s">
        <v>674</v>
      </c>
      <c r="M27" t="s">
        <v>769</v>
      </c>
    </row>
    <row r="28" spans="2:14" x14ac:dyDescent="0.45">
      <c r="B28" t="s">
        <v>106</v>
      </c>
      <c r="C28" t="s">
        <v>478</v>
      </c>
      <c r="D28" t="s">
        <v>487</v>
      </c>
      <c r="E28" t="s">
        <v>533</v>
      </c>
      <c r="J28" t="s">
        <v>675</v>
      </c>
      <c r="M28" t="s">
        <v>770</v>
      </c>
    </row>
    <row r="29" spans="2:14" x14ac:dyDescent="0.45">
      <c r="B29" t="s">
        <v>107</v>
      </c>
      <c r="C29" t="s">
        <v>479</v>
      </c>
      <c r="D29" t="s">
        <v>488</v>
      </c>
      <c r="E29" t="s">
        <v>534</v>
      </c>
      <c r="J29" t="s">
        <v>676</v>
      </c>
      <c r="M29" t="s">
        <v>771</v>
      </c>
    </row>
    <row r="30" spans="2:14" x14ac:dyDescent="0.45">
      <c r="B30" t="s">
        <v>108</v>
      </c>
      <c r="C30" t="s">
        <v>480</v>
      </c>
      <c r="D30" t="s">
        <v>489</v>
      </c>
      <c r="E30" t="s">
        <v>535</v>
      </c>
      <c r="H30" t="s">
        <v>527</v>
      </c>
      <c r="J30" t="s">
        <v>677</v>
      </c>
      <c r="M30" t="s">
        <v>772</v>
      </c>
    </row>
    <row r="31" spans="2:14" x14ac:dyDescent="0.45">
      <c r="B31" t="s">
        <v>109</v>
      </c>
      <c r="C31" t="s">
        <v>481</v>
      </c>
      <c r="D31" t="s">
        <v>490</v>
      </c>
      <c r="E31" t="s">
        <v>536</v>
      </c>
      <c r="H31" t="s">
        <v>633</v>
      </c>
      <c r="J31" t="s">
        <v>678</v>
      </c>
      <c r="M31" t="s">
        <v>773</v>
      </c>
    </row>
    <row r="32" spans="2:14" x14ac:dyDescent="0.45">
      <c r="C32" t="s">
        <v>482</v>
      </c>
      <c r="D32" t="s">
        <v>491</v>
      </c>
      <c r="E32" t="s">
        <v>537</v>
      </c>
      <c r="J32" t="s">
        <v>679</v>
      </c>
      <c r="M32" t="s">
        <v>774</v>
      </c>
    </row>
    <row r="33" spans="2:13" x14ac:dyDescent="0.45">
      <c r="B33" t="s">
        <v>138</v>
      </c>
      <c r="C33" t="s">
        <v>483</v>
      </c>
      <c r="D33" t="s">
        <v>492</v>
      </c>
      <c r="E33" t="s">
        <v>538</v>
      </c>
      <c r="J33" t="s">
        <v>680</v>
      </c>
      <c r="M33" t="s">
        <v>775</v>
      </c>
    </row>
    <row r="34" spans="2:13" x14ac:dyDescent="0.45">
      <c r="E34" t="s">
        <v>539</v>
      </c>
      <c r="J34" t="s">
        <v>681</v>
      </c>
      <c r="M34" t="s">
        <v>776</v>
      </c>
    </row>
    <row r="35" spans="2:13" x14ac:dyDescent="0.45">
      <c r="E35" t="s">
        <v>540</v>
      </c>
      <c r="J35" t="s">
        <v>682</v>
      </c>
      <c r="M35" t="s">
        <v>777</v>
      </c>
    </row>
    <row r="36" spans="2:13" x14ac:dyDescent="0.45">
      <c r="E36" t="s">
        <v>541</v>
      </c>
      <c r="J36" t="s">
        <v>683</v>
      </c>
      <c r="M36" t="s">
        <v>778</v>
      </c>
    </row>
    <row r="37" spans="2:13" x14ac:dyDescent="0.45">
      <c r="E37" t="s">
        <v>542</v>
      </c>
      <c r="J37" t="s">
        <v>684</v>
      </c>
      <c r="M37" t="s">
        <v>779</v>
      </c>
    </row>
    <row r="38" spans="2:13" x14ac:dyDescent="0.45">
      <c r="J38" t="s">
        <v>685</v>
      </c>
      <c r="M38" t="s">
        <v>780</v>
      </c>
    </row>
    <row r="39" spans="2:13" x14ac:dyDescent="0.45">
      <c r="J39" t="s">
        <v>686</v>
      </c>
      <c r="M39" t="s">
        <v>781</v>
      </c>
    </row>
    <row r="40" spans="2:13" x14ac:dyDescent="0.45">
      <c r="J40" t="s">
        <v>687</v>
      </c>
      <c r="M40" t="s">
        <v>782</v>
      </c>
    </row>
    <row r="41" spans="2:13" x14ac:dyDescent="0.45">
      <c r="J41" t="s">
        <v>688</v>
      </c>
      <c r="M41" t="s">
        <v>783</v>
      </c>
    </row>
    <row r="42" spans="2:13" x14ac:dyDescent="0.45">
      <c r="J42" t="s">
        <v>689</v>
      </c>
    </row>
    <row r="43" spans="2:13" x14ac:dyDescent="0.45">
      <c r="J43" t="s">
        <v>690</v>
      </c>
    </row>
    <row r="44" spans="2:13" x14ac:dyDescent="0.45">
      <c r="J44" t="s">
        <v>691</v>
      </c>
    </row>
    <row r="45" spans="2:13" x14ac:dyDescent="0.45">
      <c r="J45" t="s">
        <v>692</v>
      </c>
    </row>
    <row r="46" spans="2:13" x14ac:dyDescent="0.45">
      <c r="J46" t="s">
        <v>693</v>
      </c>
    </row>
    <row r="47" spans="2:13" x14ac:dyDescent="0.45">
      <c r="J47" t="s">
        <v>694</v>
      </c>
    </row>
    <row r="48" spans="2:13" x14ac:dyDescent="0.45">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25" x14ac:dyDescent="0.45"/>
  <cols>
    <col min="1" max="16" width="14.73046875" bestFit="1" customWidth="1"/>
  </cols>
  <sheetData>
    <row r="1" spans="1:16" x14ac:dyDescent="0.45">
      <c r="A1" t="s">
        <v>128</v>
      </c>
      <c r="B1" t="s">
        <v>237</v>
      </c>
      <c r="C1" t="s">
        <v>585</v>
      </c>
      <c r="D1" t="s">
        <v>626</v>
      </c>
    </row>
    <row r="3" spans="1:16" s="62" customFormat="1" x14ac:dyDescent="0.45">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45">
      <c r="B4" t="s">
        <v>238</v>
      </c>
      <c r="C4" t="s">
        <v>597</v>
      </c>
      <c r="D4" t="s">
        <v>597</v>
      </c>
    </row>
    <row r="5" spans="1:16" x14ac:dyDescent="0.45">
      <c r="B5" t="s">
        <v>239</v>
      </c>
      <c r="C5" t="s">
        <v>625</v>
      </c>
      <c r="D5" t="s">
        <v>629</v>
      </c>
    </row>
    <row r="6" spans="1:16" x14ac:dyDescent="0.45">
      <c r="B6" t="s">
        <v>240</v>
      </c>
      <c r="D6" t="s">
        <v>706</v>
      </c>
    </row>
    <row r="7" spans="1:16" x14ac:dyDescent="0.45">
      <c r="B7" t="s">
        <v>241</v>
      </c>
    </row>
    <row r="8" spans="1:16" x14ac:dyDescent="0.45">
      <c r="B8" t="s">
        <v>242</v>
      </c>
    </row>
    <row r="14" spans="1:16" s="62" customFormat="1" x14ac:dyDescent="0.45">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45">
      <c r="B15" t="s">
        <v>243</v>
      </c>
      <c r="C15" t="s">
        <v>83</v>
      </c>
    </row>
    <row r="16" spans="1:16" s="62" customFormat="1" x14ac:dyDescent="0.45">
      <c r="B16" t="s">
        <v>244</v>
      </c>
      <c r="C16" t="s">
        <v>624</v>
      </c>
    </row>
    <row r="17" spans="1:16" s="62" customFormat="1" x14ac:dyDescent="0.45">
      <c r="B17" t="s">
        <v>245</v>
      </c>
    </row>
    <row r="18" spans="1:16" s="62" customFormat="1" x14ac:dyDescent="0.45">
      <c r="B18" t="s">
        <v>246</v>
      </c>
    </row>
    <row r="19" spans="1:16" s="62" customFormat="1" x14ac:dyDescent="0.45">
      <c r="B19" t="s">
        <v>247</v>
      </c>
    </row>
    <row r="25" spans="1:16" s="62" customFormat="1" x14ac:dyDescent="0.45">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45">
      <c r="B26" t="s">
        <v>248</v>
      </c>
      <c r="C26" t="s">
        <v>599</v>
      </c>
      <c r="D26" t="s">
        <v>599</v>
      </c>
    </row>
    <row r="27" spans="1:16" s="62" customFormat="1" x14ac:dyDescent="0.45">
      <c r="B27" t="s">
        <v>249</v>
      </c>
      <c r="C27" t="s">
        <v>625</v>
      </c>
      <c r="D27" t="s">
        <v>643</v>
      </c>
    </row>
    <row r="28" spans="1:16" s="62" customFormat="1" x14ac:dyDescent="0.45">
      <c r="B28" t="s">
        <v>250</v>
      </c>
      <c r="D28"/>
    </row>
    <row r="29" spans="1:16" s="62" customFormat="1" x14ac:dyDescent="0.45">
      <c r="B29" t="s">
        <v>251</v>
      </c>
      <c r="D29"/>
    </row>
    <row r="30" spans="1:16" s="62" customFormat="1" x14ac:dyDescent="0.45">
      <c r="B30" t="s">
        <v>252</v>
      </c>
    </row>
    <row r="36" spans="1:16" s="62" customFormat="1" x14ac:dyDescent="0.45">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45">
      <c r="B37" t="s">
        <v>253</v>
      </c>
      <c r="C37" t="s">
        <v>83</v>
      </c>
    </row>
    <row r="38" spans="1:16" s="62" customFormat="1" x14ac:dyDescent="0.45">
      <c r="B38" t="s">
        <v>254</v>
      </c>
      <c r="C38" t="s">
        <v>624</v>
      </c>
    </row>
    <row r="39" spans="1:16" s="62" customFormat="1" x14ac:dyDescent="0.45">
      <c r="B39" t="s">
        <v>255</v>
      </c>
    </row>
    <row r="40" spans="1:16" s="62" customFormat="1" x14ac:dyDescent="0.45">
      <c r="B40" t="s">
        <v>256</v>
      </c>
    </row>
    <row r="41" spans="1:16" s="62" customFormat="1" x14ac:dyDescent="0.45">
      <c r="B41" t="s">
        <v>257</v>
      </c>
    </row>
    <row r="47" spans="1:16" s="62" customFormat="1" x14ac:dyDescent="0.45">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45">
      <c r="B48" t="s">
        <v>259</v>
      </c>
      <c r="D48" t="s">
        <v>642</v>
      </c>
    </row>
    <row r="49" spans="1:16" s="62" customFormat="1" x14ac:dyDescent="0.45">
      <c r="B49" t="s">
        <v>258</v>
      </c>
      <c r="D49" t="s">
        <v>705</v>
      </c>
    </row>
    <row r="50" spans="1:16" s="62" customFormat="1" x14ac:dyDescent="0.45">
      <c r="B50" t="s">
        <v>260</v>
      </c>
      <c r="D50" t="s">
        <v>706</v>
      </c>
    </row>
    <row r="51" spans="1:16" s="62" customFormat="1" x14ac:dyDescent="0.45">
      <c r="B51" t="s">
        <v>261</v>
      </c>
      <c r="D51"/>
    </row>
    <row r="52" spans="1:16" s="62" customFormat="1" x14ac:dyDescent="0.45">
      <c r="B52" t="s">
        <v>262</v>
      </c>
      <c r="D52"/>
    </row>
    <row r="58" spans="1:16" s="62" customFormat="1" x14ac:dyDescent="0.45">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45">
      <c r="B59" t="s">
        <v>263</v>
      </c>
    </row>
    <row r="60" spans="1:16" s="62" customFormat="1" x14ac:dyDescent="0.45">
      <c r="B60" t="s">
        <v>264</v>
      </c>
    </row>
    <row r="61" spans="1:16" s="62" customFormat="1" x14ac:dyDescent="0.45">
      <c r="B61" t="s">
        <v>265</v>
      </c>
    </row>
    <row r="62" spans="1:16" s="62" customFormat="1" x14ac:dyDescent="0.45">
      <c r="B62" t="s">
        <v>266</v>
      </c>
    </row>
    <row r="63" spans="1:16" s="62" customFormat="1" x14ac:dyDescent="0.45">
      <c r="B63" t="s">
        <v>267</v>
      </c>
    </row>
    <row r="69" spans="1:16" s="62" customFormat="1" x14ac:dyDescent="0.45">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45">
      <c r="B70" t="s">
        <v>268</v>
      </c>
    </row>
    <row r="71" spans="1:16" s="62" customFormat="1" x14ac:dyDescent="0.45">
      <c r="B71" t="s">
        <v>269</v>
      </c>
      <c r="D71"/>
    </row>
    <row r="72" spans="1:16" s="62" customFormat="1" x14ac:dyDescent="0.45">
      <c r="B72" t="s">
        <v>270</v>
      </c>
      <c r="D72"/>
    </row>
    <row r="73" spans="1:16" s="62" customFormat="1" x14ac:dyDescent="0.45">
      <c r="B73" t="s">
        <v>271</v>
      </c>
      <c r="D73"/>
    </row>
    <row r="74" spans="1:16" s="62" customFormat="1" x14ac:dyDescent="0.45">
      <c r="B74" t="s">
        <v>272</v>
      </c>
    </row>
    <row r="80" spans="1:16" s="62" customFormat="1" x14ac:dyDescent="0.45">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45">
      <c r="B81" t="s">
        <v>273</v>
      </c>
    </row>
    <row r="82" spans="2:2" s="62" customFormat="1" x14ac:dyDescent="0.45">
      <c r="B82" t="s">
        <v>274</v>
      </c>
    </row>
    <row r="83" spans="2:2" s="62" customFormat="1" x14ac:dyDescent="0.45">
      <c r="B83" t="s">
        <v>275</v>
      </c>
    </row>
    <row r="84" spans="2:2" s="62" customFormat="1" x14ac:dyDescent="0.45">
      <c r="B84" t="s">
        <v>276</v>
      </c>
    </row>
    <row r="85" spans="2:2" s="62" customFormat="1" x14ac:dyDescent="0.45">
      <c r="B85" t="s">
        <v>277</v>
      </c>
    </row>
    <row r="92" spans="2:2" s="62" customFormat="1" x14ac:dyDescent="0.45">
      <c r="B92"/>
    </row>
    <row r="93" spans="2:2" s="62" customFormat="1" x14ac:dyDescent="0.45">
      <c r="B93"/>
    </row>
    <row r="94" spans="2:2" s="62" customFormat="1" x14ac:dyDescent="0.45">
      <c r="B94"/>
    </row>
    <row r="95" spans="2:2" s="62" customFormat="1" x14ac:dyDescent="0.45">
      <c r="B95"/>
    </row>
    <row r="102" spans="2:2" s="62" customFormat="1" x14ac:dyDescent="0.45">
      <c r="B102"/>
    </row>
    <row r="103" spans="2:2" s="62" customFormat="1" x14ac:dyDescent="0.45">
      <c r="B103"/>
    </row>
    <row r="104" spans="2:2" s="62" customFormat="1" x14ac:dyDescent="0.45">
      <c r="B104"/>
    </row>
    <row r="105" spans="2:2" s="62" customFormat="1" x14ac:dyDescent="0.45">
      <c r="B105"/>
    </row>
    <row r="112" spans="2:2" s="62" customFormat="1" x14ac:dyDescent="0.45">
      <c r="B112"/>
    </row>
    <row r="113" spans="2:2" s="62" customFormat="1" x14ac:dyDescent="0.45">
      <c r="B113"/>
    </row>
    <row r="114" spans="2:2" s="62" customFormat="1" x14ac:dyDescent="0.45">
      <c r="B114"/>
    </row>
    <row r="115" spans="2:2" s="62" customFormat="1" x14ac:dyDescent="0.45">
      <c r="B115"/>
    </row>
    <row r="122" spans="2:2" s="62" customFormat="1" x14ac:dyDescent="0.45">
      <c r="B122"/>
    </row>
    <row r="123" spans="2:2" s="62" customFormat="1" x14ac:dyDescent="0.45">
      <c r="B123"/>
    </row>
    <row r="124" spans="2:2" s="62" customFormat="1" x14ac:dyDescent="0.45">
      <c r="B124"/>
    </row>
    <row r="125" spans="2:2" s="62" customFormat="1" x14ac:dyDescent="0.45">
      <c r="B125"/>
    </row>
    <row r="132" spans="2:2" s="62" customFormat="1" x14ac:dyDescent="0.45">
      <c r="B132"/>
    </row>
    <row r="133" spans="2:2" s="62" customFormat="1" x14ac:dyDescent="0.45">
      <c r="B133"/>
    </row>
    <row r="134" spans="2:2" s="62" customFormat="1" x14ac:dyDescent="0.45">
      <c r="B134"/>
    </row>
    <row r="135" spans="2:2" s="62" customFormat="1" x14ac:dyDescent="0.45">
      <c r="B135"/>
    </row>
    <row r="142" spans="2:2" s="62" customFormat="1" x14ac:dyDescent="0.45">
      <c r="B142"/>
    </row>
    <row r="143" spans="2:2" s="62" customFormat="1" x14ac:dyDescent="0.45">
      <c r="B143"/>
    </row>
    <row r="144" spans="2:2" s="62" customFormat="1" x14ac:dyDescent="0.45">
      <c r="B144"/>
    </row>
    <row r="145" spans="2:2" s="62" customFormat="1" x14ac:dyDescent="0.45">
      <c r="B145"/>
    </row>
    <row r="152" spans="2:2" s="62" customFormat="1" x14ac:dyDescent="0.45">
      <c r="B152"/>
    </row>
    <row r="153" spans="2:2" s="62" customFormat="1" x14ac:dyDescent="0.45">
      <c r="B153"/>
    </row>
    <row r="154" spans="2:2" s="62" customFormat="1" x14ac:dyDescent="0.45">
      <c r="B154"/>
    </row>
    <row r="155" spans="2:2" s="62" customFormat="1" x14ac:dyDescent="0.45">
      <c r="B155"/>
    </row>
    <row r="162" spans="2:2" s="62" customFormat="1" x14ac:dyDescent="0.45">
      <c r="B162"/>
    </row>
    <row r="163" spans="2:2" s="62" customFormat="1" x14ac:dyDescent="0.45">
      <c r="B163"/>
    </row>
    <row r="164" spans="2:2" s="62" customFormat="1" x14ac:dyDescent="0.45">
      <c r="B164"/>
    </row>
    <row r="165" spans="2:2" s="62" customFormat="1" x14ac:dyDescent="0.45">
      <c r="B165"/>
    </row>
    <row r="172" spans="2:2" s="62" customFormat="1" x14ac:dyDescent="0.45">
      <c r="B172"/>
    </row>
    <row r="173" spans="2:2" s="62" customFormat="1" x14ac:dyDescent="0.45">
      <c r="B173"/>
    </row>
    <row r="174" spans="2:2" s="62" customFormat="1" x14ac:dyDescent="0.45">
      <c r="B174"/>
    </row>
    <row r="175" spans="2:2" s="62" customFormat="1" x14ac:dyDescent="0.4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2:A68"/>
  <sheetViews>
    <sheetView zoomScale="71" zoomScaleNormal="71" workbookViewId="0">
      <selection sqref="A1:A68"/>
    </sheetView>
  </sheetViews>
  <sheetFormatPr defaultRowHeight="14.25" x14ac:dyDescent="0.45"/>
  <sheetData>
    <row r="2" spans="1:1" x14ac:dyDescent="0.45">
      <c r="A2" t="s">
        <v>140</v>
      </c>
    </row>
    <row r="3" spans="1:1" x14ac:dyDescent="0.45">
      <c r="A3" t="s">
        <v>141</v>
      </c>
    </row>
    <row r="4" spans="1:1" x14ac:dyDescent="0.45">
      <c r="A4" t="s">
        <v>142</v>
      </c>
    </row>
    <row r="5" spans="1:1" x14ac:dyDescent="0.45">
      <c r="A5" t="s">
        <v>143</v>
      </c>
    </row>
    <row r="6" spans="1:1" x14ac:dyDescent="0.45">
      <c r="A6" t="s">
        <v>144</v>
      </c>
    </row>
    <row r="7" spans="1:1" x14ac:dyDescent="0.45">
      <c r="A7" t="s">
        <v>493</v>
      </c>
    </row>
    <row r="8" spans="1:1" x14ac:dyDescent="0.45">
      <c r="A8" t="s">
        <v>100</v>
      </c>
    </row>
    <row r="9" spans="1:1" x14ac:dyDescent="0.45">
      <c r="A9" t="s">
        <v>145</v>
      </c>
    </row>
    <row r="10" spans="1:1" x14ac:dyDescent="0.45">
      <c r="A10" t="s">
        <v>146</v>
      </c>
    </row>
    <row r="11" spans="1:1" x14ac:dyDescent="0.45">
      <c r="A11" t="s">
        <v>147</v>
      </c>
    </row>
    <row r="12" spans="1:1" x14ac:dyDescent="0.45">
      <c r="A12" t="s">
        <v>83</v>
      </c>
    </row>
    <row r="13" spans="1:1" x14ac:dyDescent="0.45">
      <c r="A13" t="s">
        <v>148</v>
      </c>
    </row>
    <row r="14" spans="1:1" x14ac:dyDescent="0.45">
      <c r="A14" t="s">
        <v>83</v>
      </c>
    </row>
    <row r="15" spans="1:1" x14ac:dyDescent="0.45">
      <c r="A15" t="s">
        <v>126</v>
      </c>
    </row>
    <row r="16" spans="1:1" x14ac:dyDescent="0.45">
      <c r="A16" t="s">
        <v>84</v>
      </c>
    </row>
    <row r="17" spans="1:1" x14ac:dyDescent="0.45">
      <c r="A17" t="s">
        <v>149</v>
      </c>
    </row>
    <row r="18" spans="1:1" x14ac:dyDescent="0.45">
      <c r="A18" t="s">
        <v>150</v>
      </c>
    </row>
    <row r="20" spans="1:1" x14ac:dyDescent="0.45">
      <c r="A20" t="s">
        <v>151</v>
      </c>
    </row>
    <row r="22" spans="1:1" x14ac:dyDescent="0.45">
      <c r="A22" t="s">
        <v>941</v>
      </c>
    </row>
    <row r="23" spans="1:1" x14ac:dyDescent="0.45">
      <c r="A23" t="s">
        <v>942</v>
      </c>
    </row>
    <row r="24" spans="1:1" x14ac:dyDescent="0.45">
      <c r="A24" t="s">
        <v>943</v>
      </c>
    </row>
    <row r="25" spans="1:1" x14ac:dyDescent="0.45">
      <c r="A25" t="s">
        <v>944</v>
      </c>
    </row>
    <row r="27" spans="1:1" x14ac:dyDescent="0.45">
      <c r="A27" t="s">
        <v>945</v>
      </c>
    </row>
    <row r="29" spans="1:1" x14ac:dyDescent="0.45">
      <c r="A29" t="s">
        <v>159</v>
      </c>
    </row>
    <row r="31" spans="1:1" x14ac:dyDescent="0.45">
      <c r="A31" t="s">
        <v>92</v>
      </c>
    </row>
    <row r="32" spans="1:1" x14ac:dyDescent="0.45">
      <c r="A32" t="s">
        <v>127</v>
      </c>
    </row>
    <row r="33" spans="1:1" x14ac:dyDescent="0.45">
      <c r="A33" t="s">
        <v>152</v>
      </c>
    </row>
    <row r="34" spans="1:1" x14ac:dyDescent="0.45">
      <c r="A34" t="s">
        <v>127</v>
      </c>
    </row>
    <row r="35" spans="1:1" x14ac:dyDescent="0.45">
      <c r="A35" t="s">
        <v>939</v>
      </c>
    </row>
    <row r="36" spans="1:1" x14ac:dyDescent="0.45">
      <c r="A36" t="s">
        <v>1044</v>
      </c>
    </row>
    <row r="38" spans="1:1" x14ac:dyDescent="0.45">
      <c r="A38" t="s">
        <v>139</v>
      </c>
    </row>
    <row r="40" spans="1:1" x14ac:dyDescent="0.45">
      <c r="A40" t="s">
        <v>160</v>
      </c>
    </row>
    <row r="41" spans="1:1" x14ac:dyDescent="0.45">
      <c r="A41" t="s">
        <v>85</v>
      </c>
    </row>
    <row r="43" spans="1:1" x14ac:dyDescent="0.45">
      <c r="A43" t="s">
        <v>137</v>
      </c>
    </row>
    <row r="44" spans="1:1" x14ac:dyDescent="0.45">
      <c r="A44" t="s">
        <v>100</v>
      </c>
    </row>
    <row r="45" spans="1:1" x14ac:dyDescent="0.45">
      <c r="A45" t="s">
        <v>101</v>
      </c>
    </row>
    <row r="46" spans="1:1" x14ac:dyDescent="0.45">
      <c r="A46" t="s">
        <v>127</v>
      </c>
    </row>
    <row r="47" spans="1:1" x14ac:dyDescent="0.45">
      <c r="A47" t="s">
        <v>127</v>
      </c>
    </row>
    <row r="48" spans="1:1" x14ac:dyDescent="0.45">
      <c r="A48" t="s">
        <v>127</v>
      </c>
    </row>
    <row r="50" spans="1:1" x14ac:dyDescent="0.45">
      <c r="A50" t="s">
        <v>93</v>
      </c>
    </row>
    <row r="51" spans="1:1" x14ac:dyDescent="0.45">
      <c r="A51" t="s">
        <v>94</v>
      </c>
    </row>
    <row r="52" spans="1:1" x14ac:dyDescent="0.45">
      <c r="A52" t="s">
        <v>95</v>
      </c>
    </row>
    <row r="53" spans="1:1" x14ac:dyDescent="0.45">
      <c r="A53" t="s">
        <v>96</v>
      </c>
    </row>
    <row r="54" spans="1:1" x14ac:dyDescent="0.45">
      <c r="A54" t="s">
        <v>97</v>
      </c>
    </row>
    <row r="55" spans="1:1" x14ac:dyDescent="0.45">
      <c r="A55" t="s">
        <v>98</v>
      </c>
    </row>
    <row r="56" spans="1:1" x14ac:dyDescent="0.45">
      <c r="A56" t="s">
        <v>99</v>
      </c>
    </row>
    <row r="58" spans="1:1" x14ac:dyDescent="0.45">
      <c r="A58" t="s">
        <v>101</v>
      </c>
    </row>
    <row r="59" spans="1:1" x14ac:dyDescent="0.45">
      <c r="A59" t="s">
        <v>102</v>
      </c>
    </row>
    <row r="60" spans="1:1" x14ac:dyDescent="0.45">
      <c r="A60" t="s">
        <v>103</v>
      </c>
    </row>
    <row r="61" spans="1:1" x14ac:dyDescent="0.45">
      <c r="A61" t="s">
        <v>104</v>
      </c>
    </row>
    <row r="62" spans="1:1" x14ac:dyDescent="0.45">
      <c r="A62" t="s">
        <v>105</v>
      </c>
    </row>
    <row r="63" spans="1:1" x14ac:dyDescent="0.45">
      <c r="A63" t="s">
        <v>106</v>
      </c>
    </row>
    <row r="64" spans="1:1" x14ac:dyDescent="0.45">
      <c r="A64" t="s">
        <v>107</v>
      </c>
    </row>
    <row r="65" spans="1:1" x14ac:dyDescent="0.45">
      <c r="A65" t="s">
        <v>108</v>
      </c>
    </row>
    <row r="66" spans="1:1" x14ac:dyDescent="0.45">
      <c r="A66" t="s">
        <v>109</v>
      </c>
    </row>
    <row r="68" spans="1:1" x14ac:dyDescent="0.45">
      <c r="A68" t="s">
        <v>138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4.25" x14ac:dyDescent="0.45"/>
  <sheetData>
    <row r="1" spans="1:1" x14ac:dyDescent="0.45">
      <c r="A1" t="s">
        <v>858</v>
      </c>
    </row>
    <row r="2" spans="1:1" x14ac:dyDescent="0.45">
      <c r="A2" s="89" t="s">
        <v>857</v>
      </c>
    </row>
    <row r="6" spans="1:1" x14ac:dyDescent="0.45">
      <c r="A6" s="141" t="s">
        <v>867</v>
      </c>
    </row>
    <row r="7" spans="1:1" x14ac:dyDescent="0.45">
      <c r="A7" t="s">
        <v>870</v>
      </c>
    </row>
    <row r="8" spans="1:1" x14ac:dyDescent="0.45">
      <c r="A8" t="s">
        <v>871</v>
      </c>
    </row>
    <row r="15" spans="1:1" x14ac:dyDescent="0.45">
      <c r="A15" t="s">
        <v>868</v>
      </c>
    </row>
    <row r="16" spans="1:1" x14ac:dyDescent="0.45">
      <c r="A16" t="s">
        <v>861</v>
      </c>
    </row>
    <row r="17" spans="1:1" x14ac:dyDescent="0.45">
      <c r="A17" t="s">
        <v>865</v>
      </c>
    </row>
    <row r="18" spans="1:1" x14ac:dyDescent="0.45">
      <c r="A18" t="s">
        <v>862</v>
      </c>
    </row>
    <row r="20" spans="1:1" x14ac:dyDescent="0.45">
      <c r="A20" t="s">
        <v>866</v>
      </c>
    </row>
    <row r="24" spans="1:1" x14ac:dyDescent="0.45">
      <c r="A24" t="s">
        <v>869</v>
      </c>
    </row>
    <row r="25" spans="1:1" x14ac:dyDescent="0.45">
      <c r="A25" t="s">
        <v>856</v>
      </c>
    </row>
    <row r="26" spans="1:1" x14ac:dyDescent="0.45">
      <c r="A26" t="s">
        <v>712</v>
      </c>
    </row>
    <row r="27" spans="1:1" x14ac:dyDescent="0.45">
      <c r="A27" t="s">
        <v>855</v>
      </c>
    </row>
    <row r="28" spans="1:1" x14ac:dyDescent="0.45">
      <c r="A28" t="s">
        <v>854</v>
      </c>
    </row>
    <row r="30" spans="1:1" x14ac:dyDescent="0.45">
      <c r="A30" t="s">
        <v>866</v>
      </c>
    </row>
    <row r="34" spans="1:1" x14ac:dyDescent="0.45">
      <c r="A34" t="s">
        <v>850</v>
      </c>
    </row>
    <row r="35" spans="1:1" x14ac:dyDescent="0.45">
      <c r="A35" t="s">
        <v>851</v>
      </c>
    </row>
    <row r="37" spans="1:1" x14ac:dyDescent="0.45">
      <c r="A37" t="s">
        <v>866</v>
      </c>
    </row>
    <row r="41" spans="1:1" x14ac:dyDescent="0.45">
      <c r="A41" t="s">
        <v>852</v>
      </c>
    </row>
    <row r="42" spans="1:1" x14ac:dyDescent="0.45">
      <c r="A42" t="s">
        <v>853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32</vt:i4>
      </vt:variant>
    </vt:vector>
  </HeadingPairs>
  <TitlesOfParts>
    <vt:vector size="45" baseType="lpstr">
      <vt:lpstr>Main Sheet</vt:lpstr>
      <vt:lpstr>Lampshade</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Amp_1</vt:lpstr>
      <vt:lpstr>BedTemp</vt:lpstr>
      <vt:lpstr>Bulge1</vt:lpstr>
      <vt:lpstr>Bulge2</vt:lpstr>
      <vt:lpstr>FanSpeed</vt:lpstr>
      <vt:lpstr>FirstLayerEFactor</vt:lpstr>
      <vt:lpstr>FrameLineSpacingRatio</vt:lpstr>
      <vt:lpstr>FrameWidthFactor</vt:lpstr>
      <vt:lpstr>FW</vt:lpstr>
      <vt:lpstr>Height</vt:lpstr>
      <vt:lpstr>InnerFrameLayers</vt:lpstr>
      <vt:lpstr>Layers</vt:lpstr>
      <vt:lpstr>LH</vt:lpstr>
      <vt:lpstr>NozzleFeedratePrinting</vt:lpstr>
      <vt:lpstr>NozzleFeedrateTravelling</vt:lpstr>
      <vt:lpstr>NozzleTemp</vt:lpstr>
      <vt:lpstr>nTip</vt:lpstr>
      <vt:lpstr>pi_2</vt:lpstr>
      <vt:lpstr>R_0</vt:lpstr>
      <vt:lpstr>RadInner</vt:lpstr>
      <vt:lpstr>RadOuter</vt:lpstr>
      <vt:lpstr>RipD</vt:lpstr>
      <vt:lpstr>RipFreq</vt:lpstr>
      <vt:lpstr>Segs1</vt:lpstr>
      <vt:lpstr>Segs2</vt:lpstr>
      <vt:lpstr>Swerve</vt:lpstr>
      <vt:lpstr>TipLen</vt:lpstr>
      <vt:lpstr>TotalSegs</vt:lpstr>
      <vt:lpstr>X_1</vt:lpstr>
      <vt:lpstr>X_2</vt:lpstr>
      <vt:lpstr>ZagMax</vt:lpstr>
      <vt:lpstr>ZagMin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2021-07-08T18:59:45Z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